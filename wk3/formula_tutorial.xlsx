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codeName="ThisWorkbook" defaultThemeVersion="166925"/>
  <xr:revisionPtr revIDLastSave="0" documentId="13_ncr:1_{DB2CAD3E-3A76-4F81-81AE-CD98DC0ECEF0}" xr6:coauthVersionLast="47" xr6:coauthVersionMax="47" xr10:uidLastSave="{00000000-0000-0000-0000-000000000000}"/>
  <bookViews>
    <workbookView xWindow="28680" yWindow="-120" windowWidth="29040" windowHeight="15720" tabRatio="927" firstSheet="3" activeTab="3" xr2:uid="{00000000-000D-0000-FFFF-FFFF00000000}"/>
  </bookViews>
  <sheets>
    <sheet name="Start" sheetId="2" r:id="rId1"/>
    <sheet name="Basics" sheetId="19" r:id="rId2"/>
    <sheet name="Introduction to Functions" sheetId="16" r:id="rId3"/>
    <sheet name="AVERAGE" sheetId="1" r:id="rId4"/>
    <sheet name="MIN &amp; MAX" sheetId="11" r:id="rId5"/>
    <sheet name="Date &amp; Time" sheetId="10" r:id="rId6"/>
    <sheet name="Joining text and numbers" sheetId="15" r:id="rId7"/>
    <sheet name="IF statements" sheetId="13" r:id="rId8"/>
    <sheet name="VLOOKUP" sheetId="9" r:id="rId9"/>
    <sheet name="Conditional Functions" sheetId="7" r:id="rId10"/>
    <sheet name="Function Wizard" sheetId="20" r:id="rId11"/>
    <sheet name="Formula Errors" sheetId="21" r:id="rId12"/>
    <sheet name="Learn more" sheetId="17" r:id="rId13"/>
  </sheets>
  <definedNames>
    <definedName name="_xlnm._FilterDatabase" localSheetId="1" hidden="1">Basics!$P$9:$Q$10</definedName>
    <definedName name="_xlnm._FilterDatabase" localSheetId="9" hidden="1">'Conditional Functions'!$F$2:$H$14</definedName>
    <definedName name="Apples">tbl_FruitType[Apples]</definedName>
    <definedName name="Bananas">tbl_FruitType6[Bananas]</definedName>
    <definedName name="ExtraCredit" localSheetId="2">'Introduction to Functions'!$F$9:$G$14</definedName>
    <definedName name="_xlnm.Extract" localSheetId="9">'Conditional Functions'!$AB$2</definedName>
    <definedName name="Fruit" localSheetId="2">'Introduction to Functions'!$C$2:$D$6</definedName>
    <definedName name="grp_WalkMeArrows">"shp_ArrowCurved,txt_WalkMeArrows,shp_ArrowStraight"</definedName>
    <definedName name="grp_WalkMeBrace">"shp_BraceBottom,txt_WalkMeBrace,shp_BraceLeft"</definedName>
    <definedName name="Items" localSheetId="2">'Introduction to Functions'!$C$9:$D$14</definedName>
    <definedName name="Lemons">tbl_FruitType5[Lemons]</definedName>
    <definedName name="lst_Fruit">tbl_Fruit[Fruit]</definedName>
    <definedName name="lst_FruitType">tbl_FruitType[Apples]</definedName>
    <definedName name="Meat" localSheetId="2">'Introduction to Functions'!$F$2:$G$6</definedName>
    <definedName name="MoreFruit" localSheetId="2">'Introduction to Functions'!$C$34:$D$39</definedName>
    <definedName name="MoreItems" localSheetId="2">'Introduction to Functions'!$C$44:$D$48</definedName>
    <definedName name="Oranges">tbl_FruitType4[Oranges]</definedName>
    <definedName name="SalesTax">0.0825</definedName>
    <definedName name="Shipping">1.25</definedName>
    <definedName name="SUMExtraCredit" localSheetId="2">'Introduction to Functions'!$F$9:$G$14</definedName>
    <definedName name="Total" localSheetId="2">'Introduction to Functions'!$D$50:$D$51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51" i="16" l="1"/>
  <c r="D9" i="21"/>
  <c r="G43" i="9"/>
  <c r="D43" i="9"/>
  <c r="C37" i="15"/>
  <c r="C36" i="15"/>
  <c r="D8" i="10"/>
  <c r="E31" i="13"/>
  <c r="F7" i="19"/>
  <c r="A38" i="7"/>
  <c r="G51" i="16"/>
  <c r="G7" i="19"/>
  <c r="D36" i="21"/>
  <c r="J43" i="19"/>
  <c r="G6" i="19"/>
  <c r="G5" i="19"/>
  <c r="G4" i="19"/>
  <c r="G3" i="19"/>
  <c r="F29" i="13"/>
  <c r="F28" i="13"/>
  <c r="F31" i="13" s="1"/>
  <c r="G15" i="11"/>
  <c r="D39" i="16"/>
  <c r="C32" i="15" l="1"/>
  <c r="F37" i="13"/>
  <c r="F6" i="10"/>
  <c r="C33" i="15"/>
</calcChain>
</file>

<file path=xl/sharedStrings.xml><?xml version="1.0" encoding="utf-8"?>
<sst xmlns="http://schemas.openxmlformats.org/spreadsheetml/2006/main" count="646" uniqueCount="319">
  <si>
    <t>Go back to top by pressing CTRL+HOME. To start the tour, press CTRL+PAGE DOWN.</t>
  </si>
  <si>
    <t>Fruit</t>
  </si>
  <si>
    <t>Amount</t>
  </si>
  <si>
    <t>Meat</t>
  </si>
  <si>
    <t>Apples</t>
  </si>
  <si>
    <t>Beef</t>
  </si>
  <si>
    <t>Oranges</t>
  </si>
  <si>
    <t>Chicken</t>
  </si>
  <si>
    <t>Bananas</t>
  </si>
  <si>
    <t>Pork</t>
  </si>
  <si>
    <t>Lemons</t>
  </si>
  <si>
    <t>Fish</t>
  </si>
  <si>
    <t>Item</t>
  </si>
  <si>
    <t>Bread</t>
  </si>
  <si>
    <t>Donuts</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</si>
  <si>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</si>
  <si>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</si>
  <si>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</si>
  <si>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</si>
  <si>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</si>
  <si>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</si>
  <si>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</si>
  <si>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</si>
  <si>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</si>
  <si>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</si>
  <si>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Cars</t>
  </si>
  <si>
    <t>Trucks</t>
  </si>
  <si>
    <t>Bikes</t>
  </si>
  <si>
    <t>Skates</t>
  </si>
  <si>
    <t>Total:</t>
  </si>
  <si>
    <t>More information on the web</t>
  </si>
  <si>
    <t>All about the SUMIF function</t>
  </si>
  <si>
    <t>Use Excel as your calculator</t>
  </si>
  <si>
    <t>Free Excel training online</t>
  </si>
  <si>
    <t>Go back to top by pressing CTRL+HOME. To proceed to the next step, press CTRL+PAGE DOWN.</t>
  </si>
  <si>
    <t xml:space="preserve">More information on the web
</t>
  </si>
  <si>
    <t>All about the COUNT function</t>
  </si>
  <si>
    <t>All about the SUM function</t>
  </si>
  <si>
    <t>MIN and MAX functions</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</si>
  <si>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</si>
  <si>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</si>
  <si>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</si>
  <si>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</si>
  <si>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</si>
  <si>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Type</t>
  </si>
  <si>
    <t>Fuji</t>
  </si>
  <si>
    <t>Florida</t>
  </si>
  <si>
    <t>Cavendish</t>
  </si>
  <si>
    <t>Rough</t>
  </si>
  <si>
    <t>Honeycrisp</t>
  </si>
  <si>
    <t>Navel</t>
  </si>
  <si>
    <t>Lady Finger</t>
  </si>
  <si>
    <t>Eureka</t>
  </si>
  <si>
    <t>SUMIF</t>
  </si>
  <si>
    <t>SUMIFS</t>
  </si>
  <si>
    <t>Today's date:</t>
  </si>
  <si>
    <t>Current time:</t>
  </si>
  <si>
    <t>Using text and numbers together</t>
  </si>
  <si>
    <t>Using text &amp; numbers</t>
  </si>
  <si>
    <t>Joining text &amp; numbers</t>
  </si>
  <si>
    <t>Formatting text &amp; numbers</t>
  </si>
  <si>
    <t>IF statements</t>
  </si>
  <si>
    <t>Yes</t>
  </si>
  <si>
    <t>Quantity</t>
  </si>
  <si>
    <t>Cost</t>
  </si>
  <si>
    <t>Total</t>
  </si>
  <si>
    <t>Widget</t>
  </si>
  <si>
    <t>Doohickey</t>
  </si>
  <si>
    <t>Sub-Total</t>
  </si>
  <si>
    <t>Sales Tax?</t>
  </si>
  <si>
    <t>VLOOKUP</t>
  </si>
  <si>
    <t>All about the VLOOKUP function</t>
  </si>
  <si>
    <t>All about the INDEX/MATCH functions</t>
  </si>
  <si>
    <t>All about the IFERROR function</t>
  </si>
  <si>
    <t>Use PivotTables to analyze worksheet data</t>
  </si>
  <si>
    <t>More questions about Excel?</t>
  </si>
  <si>
    <t>Press ALT+Q and type what you want to know.</t>
  </si>
  <si>
    <t>Keep going. There is more to learn with Excel:</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</si>
  <si>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</si>
  <si>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</si>
  <si>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</si>
  <si>
    <t>Values</t>
  </si>
  <si>
    <t>Try it</t>
  </si>
  <si>
    <t>COUNTIF</t>
  </si>
  <si>
    <t>COUNTIFS</t>
  </si>
  <si>
    <t>Your birthday:</t>
  </si>
  <si>
    <t>Days until your birthday:</t>
  </si>
  <si>
    <t>Date functions</t>
  </si>
  <si>
    <t>Time functions</t>
  </si>
  <si>
    <t>Current Time:</t>
  </si>
  <si>
    <t>Time In:</t>
  </si>
  <si>
    <t>Time Out:</t>
  </si>
  <si>
    <t>Lunch Out:</t>
  </si>
  <si>
    <t>Lunch In:</t>
  </si>
  <si>
    <t>Daily Hours Worked</t>
  </si>
  <si>
    <t>Total Hours:</t>
  </si>
  <si>
    <t>Bill due on:</t>
  </si>
  <si>
    <t>Grace period days:</t>
  </si>
  <si>
    <t>Static Date &amp; Time</t>
  </si>
  <si>
    <t>Date:</t>
  </si>
  <si>
    <t>Time:</t>
  </si>
  <si>
    <t>First Name</t>
  </si>
  <si>
    <t>Last Name</t>
  </si>
  <si>
    <t>Last Name, First Name</t>
  </si>
  <si>
    <t>Nancy</t>
  </si>
  <si>
    <t>Smith</t>
  </si>
  <si>
    <t>Andy</t>
  </si>
  <si>
    <t>North</t>
  </si>
  <si>
    <t>Jan</t>
  </si>
  <si>
    <t>Kotas</t>
  </si>
  <si>
    <t>Mariya</t>
  </si>
  <si>
    <t>Jones</t>
  </si>
  <si>
    <t>Steven</t>
  </si>
  <si>
    <t>Thorpe</t>
  </si>
  <si>
    <t>Michael</t>
  </si>
  <si>
    <t>Neipper</t>
  </si>
  <si>
    <t>Robert</t>
  </si>
  <si>
    <t>Zare</t>
  </si>
  <si>
    <t>Yvonne</t>
  </si>
  <si>
    <t>McKay</t>
  </si>
  <si>
    <t>Full Name</t>
  </si>
  <si>
    <t>Apple</t>
  </si>
  <si>
    <t>Orange</t>
  </si>
  <si>
    <t>Shipping?</t>
  </si>
  <si>
    <t>Numbers to use:</t>
  </si>
  <si>
    <t xml:space="preserve">Addition (+) </t>
  </si>
  <si>
    <t xml:space="preserve">Subtraction (-) </t>
  </si>
  <si>
    <t xml:space="preserve">Multiplication (*) </t>
  </si>
  <si>
    <t xml:space="preserve">Division (/) </t>
  </si>
  <si>
    <t xml:space="preserve">Power (^) </t>
  </si>
  <si>
    <t>Basics: doing math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</si>
  <si>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</si>
  <si>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</si>
  <si>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</si>
  <si>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</si>
  <si>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</si>
  <si>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</si>
  <si>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</si>
  <si>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</si>
  <si>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</si>
  <si>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</si>
  <si>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</si>
  <si>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
</t>
  </si>
  <si>
    <t>=10*20 is a formula, where 10 and 20 are constants, and the * sign is the operator.</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</si>
  <si>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</si>
  <si>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</si>
  <si>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Previous</t>
  </si>
  <si>
    <t>Next</t>
  </si>
  <si>
    <t>Use Excel as a calculator</t>
  </si>
  <si>
    <t>Overview of formulas in Excel</t>
  </si>
  <si>
    <t xml:space="preserve">Excel functions (by category) </t>
  </si>
  <si>
    <t>Excel functions (alphabetical) </t>
  </si>
  <si>
    <t>Check this out: change the numbers in cells C3 and C4, and watch the formula results automatically change.</t>
  </si>
  <si>
    <t>EXTRA CREDIT: You can raise a value to a power by using the carat (^) symbol, like =A1^A2. Enter it with Shift+6. In cell F7, enter =C3^C4.</t>
  </si>
  <si>
    <t>Some formula explanations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</si>
  <si>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</si>
  <si>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</si>
  <si>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</si>
  <si>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</si>
  <si>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</si>
  <si>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</si>
  <si>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</si>
  <si>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</si>
  <si>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</si>
  <si>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Use AutoSum to sum numbers</t>
  </si>
  <si>
    <t>Back to top</t>
  </si>
  <si>
    <t>AVERAGE function</t>
  </si>
  <si>
    <t>Activate the previous sheet</t>
  </si>
  <si>
    <t>Go to the next sheet</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</si>
  <si>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</si>
  <si>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</si>
  <si>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</si>
  <si>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</si>
  <si>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</si>
  <si>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 xml:space="preserve">EXTRA CREDIT
Try using MEDIAN or MODE here. 
MEDIAN gives you the value in the middle of the data set, while 
MODE gives the one that occurs the most frequently.
</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</si>
  <si>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</si>
  <si>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</si>
  <si>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</si>
  <si>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</si>
  <si>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</si>
  <si>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</si>
  <si>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</si>
  <si>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All aobut the MIN function</t>
  </si>
  <si>
    <t>All about the MAX function</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</si>
  <si>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</si>
  <si>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</si>
  <si>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MM/DD/YY format in cell D7, and watch Excel tell you how many days away it is by using =D7-D6 in cell D8.
</t>
  </si>
  <si>
    <t xml:space="preserve">Add Dates - Let's say you want to know what date a bill is due,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</si>
  <si>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t>
  </si>
  <si>
    <t xml:space="preserve">Excel can give you the current time, based on your computer's regional settings. You can also add and subtract times. For instance, you might need to keep track of how many hours an employee worked each week, and calculate their pay and overtime.
</t>
  </si>
  <si>
    <t>All about the TODAY function</t>
  </si>
  <si>
    <t>All about the NOW function</t>
  </si>
  <si>
    <t>All about the DATE function</t>
  </si>
  <si>
    <t>Joining text from different cells</t>
  </si>
  <si>
    <t xml:space="preserve">There are many times in Excel when you want to join text that's in different cells. This example is very common, where you have first and last names, and want to combine them as first name, last name, or full name. Fortunately, Excel lets us do that with the Ampersand (&amp;) sign, which you can enter with Shift+7.
</t>
  </si>
  <si>
    <t xml:space="preserve">In cell E3, enter =D3&amp;C3 to join the last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</si>
  <si>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</si>
  <si>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and last name, but use a space without a comma. In F3, enter =C3&amp;" "&amp;D3.
</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</si>
  <si>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t>
  </si>
  <si>
    <t xml:space="preserve">In cell C36, enter =C28&amp;" "&amp;TEXT(D28,"MM/DD/YYYY"). MM/DD/YYYY is the US format code for Month/Day/Year, like 09/25/2017.
</t>
  </si>
  <si>
    <t xml:space="preserve">In cell C37, enter =C29&amp;" "&amp;TEXT(D29,"HH:MM AM/PM"). HH:MM AM/PM is the US format code for Hours:Minutes AM or PM, like 1:30 PM.
</t>
  </si>
  <si>
    <t>CHECK THIS OUT
Formulas, especially big ones, can sometimes be hard to read, but you can break up their parts with spaces like this:
=C28 &amp; " " &amp; TEXT(D28,"MM/DD/YYYY")</t>
  </si>
  <si>
    <t>All about the TEXT function</t>
  </si>
  <si>
    <t>Combine text and numbers</t>
  </si>
  <si>
    <t>IF statements allow you to make logical comparisons between conditions. An IF statement generally says that if one condition is true do something, otherwise do something else. The formulas can return text, values, or even more calculations.</t>
  </si>
  <si>
    <t>IMPORTANT DETAIL
TRUE and FALSE are unlike other words in Excel formulas in that they don't need to be in quotes, and Excel will automatically capitalize them. Numbers don't need to be in quotes either. Regular text, like Yes or No does need to be in quotes like this: 
=IF(C3="Apple","Yes","No")</t>
  </si>
  <si>
    <t>IF statement with another function</t>
  </si>
  <si>
    <t xml:space="preserve">IF statements can also force additional calculations to be performed if a certain condition is met. Here we're going to evaluate a cell to see if Sales Tax should be charged, and calculate it if the condition is true.
</t>
  </si>
  <si>
    <t>GOOD TO KNOW
When you create a formula, Excel will automatically place colored borders around any ranges referenced in the formula, and the corresponding ranges in the formula will be the same color. You can see this if you select cell F33 and press F2 to edit the formula.</t>
  </si>
  <si>
    <t>All about the IF function</t>
  </si>
  <si>
    <t>All about the IFS function</t>
  </si>
  <si>
    <t>Advanced IF statements</t>
  </si>
  <si>
    <t xml:space="preserve">VLOOKUP is one of the most widely used functions in Excel (and one of our favorites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</si>
  <si>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</si>
  <si>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</si>
  <si>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</si>
  <si>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</si>
  <si>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</si>
  <si>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EXPERIMENT
Try selecting different items from the drop 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</si>
  <si>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</si>
  <si>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</si>
  <si>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</si>
  <si>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</si>
  <si>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</si>
  <si>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specifc criteria you look for in another range, like how many Apples you have. Select cell D17 and type =SUMIF(C3:C14,C17,D3:D14). SUMIF is structured like this:</t>
  </si>
  <si>
    <t>=SUMIF(C3:C14,C17,D3:D4)</t>
  </si>
  <si>
    <t>What range do you want to look at?</t>
  </si>
  <si>
    <t>What value (text or number) do you want to look for?</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</si>
  <si>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</si>
  <si>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</si>
  <si>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What range do you want to sum?</t>
  </si>
  <si>
    <t>This is the first range to look in for matches</t>
  </si>
  <si>
    <t>This is the criteria for the first match</t>
  </si>
  <si>
    <t>This is the second range to look in for matches</t>
  </si>
  <si>
    <t>This is the criteria for the second match</t>
  </si>
  <si>
    <t>Conditional functions - COUNTIF</t>
  </si>
  <si>
    <t>COUNTIF and COUNTIFS let you count values in a range based on a criteria you specify. They're a bit different from the other IF and IFS functions, in that they only have a criteria range, and criteria. They don't evalute one range, then look in another to summarize.</t>
  </si>
  <si>
    <t>=COUNTIF(C50:C61,C64)</t>
  </si>
  <si>
    <t>=COUNTIFS(F50:F61,F64,G50:G61,G64)</t>
  </si>
  <si>
    <t>This is the first range to count</t>
  </si>
  <si>
    <t>This is the second range to count</t>
  </si>
  <si>
    <t>This is criteria for the second match</t>
  </si>
  <si>
    <t>More conditional functions</t>
  </si>
  <si>
    <t>SUMIF with a value argument</t>
  </si>
  <si>
    <t>Here's an example of the SUMIF function using greater than (&gt;) to find all values greater than a given amount:</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</si>
  <si>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</si>
  <si>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</si>
  <si>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</si>
  <si>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</si>
  <si>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</si>
  <si>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</si>
  <si>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</si>
  <si>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</si>
  <si>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</si>
  <si>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</si>
  <si>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</si>
  <si>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</si>
  <si>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Let the Function Wizard guide you</t>
  </si>
  <si>
    <t xml:space="preserve">If you know the name of the function you want, but you're not sure how to build it, you can use the Function Wizard to help you out.
</t>
  </si>
  <si>
    <t>GOOD TO KNOW
You can type cell and range references, or select them with your mouse.</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</si>
  <si>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</si>
  <si>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</si>
  <si>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</si>
  <si>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
</t>
  </si>
  <si>
    <t xml:space="preserve">Error checking - Go to Formulas &gt; Error Checking. This will load a dialog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</si>
  <si>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 will load.
</t>
  </si>
  <si>
    <t xml:space="preserve">Each time you click Evaluate, Excel will step through the formula one section at a time. It won't necessarily tell you why an error occurs, but it will point out where. From there, look at the help topic to deduce what went wrong with your formula.
</t>
  </si>
  <si>
    <t>EXPERIMENT
What's wrong here? Hint: We're trying to SUM up all the items.</t>
  </si>
  <si>
    <t>Detect errors in formulas</t>
  </si>
  <si>
    <t>How to avoid broken formulas</t>
  </si>
  <si>
    <t>Evaluate a nested formula one step at a time</t>
  </si>
  <si>
    <t>Here's a neat keyboard shortcut. Select cell D15, then press Alt =, then Enter. This automatically enters SUM for you.</t>
  </si>
  <si>
    <t xml:space="preserve">CHECK THIS OUT
Select any range of numbers, then look in the Status Bar for an instant Average.
</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</si>
  <si>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</si>
  <si>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If this formula could talk, it would say, "Take the Time Out and subtract it from the Time In, then subtract the Lunch Out/In Times, then multiply those by 24 to convert Excel's fractional time to hours", or =((Time In - Time Out)-(Lunch In - Lunch Out))*24.</t>
  </si>
  <si>
    <t xml:space="preserve">IMPORTANT DETAIL
If you don't want Excel to display a negative number because you haven't entered your birthday yet, you can use an IF function like this: =IF(D7="","",D7-D6), which says, "IF D7 equals nothing, then show nothing, otherwise show D7 minus D6".
</t>
  </si>
  <si>
    <t xml:space="preserve">In cell D9 enter =IF(C9="Apple",TRUE,FALSE). The correct answer is TRUE. 
</t>
  </si>
  <si>
    <t xml:space="preserve">Copy D9 to D10. The answer here should be FALSE, because an orange is not an apple.
</t>
  </si>
  <si>
    <t>In cell F33, we've entered =IF(E33="Yes",F31*SalesTax,0), where we set up SalesTax as a Named Range with a value of 0.0825. Our formula says If cell E33 equals Yes, then multiply cell F31 times SalesTax, otherwise return a 0.
Try changing Yes to No in cell E33 to see the calculation change.</t>
  </si>
  <si>
    <t xml:space="preserve">Next we've added an IF statement to calculate shipping if it's required. In cell F35 you'll see =IF(E35="Yes",SUM(D28:D29)*1.25,0). This says "If cell E35 is Yes, then take the sum of the Quantity column in the table above, and multiply it by 1.25, otherwise return a 0".
</t>
  </si>
  <si>
    <t xml:space="preserve">Next, change the 1.25 in the formula in cell F35 to "Shipping".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
</t>
  </si>
  <si>
    <t xml:space="preserve">EXPERT TIP
Named Ranges allow you to define terms or values in a single place, and then reuse them throughout a workbook. You can see all of the named ranges in this workbook by going to Formulas &gt; Name Manager. Click here to learn more.
</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</si>
  <si>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</si>
  <si>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</si>
  <si>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 xml:space="preserve">If you know your lookup value exists, but want to hide the error if the lookup cell is blank, you can use an IF statement. In this case, we'll wrap our existing VLOOKUP formula like this in cell D43:
=IF(C43="","",VLOOKUP(C43,C37:D41,2,FALSE))
This says if cell C43 equals nothing (""), then return nothing, otherwise return the VLOOKUP's results. Note the second closing parenthesis at the end of the formula. This closes the IF statement.
</t>
  </si>
  <si>
    <t xml:space="preserve">If you're not sure your lookup value exists, but you still want to suppress the #N/A error, you can use an error handling function called IFERROR in cell G43: =IFERROR(VLOOKUP(F43,F37:G41,2,FALSE),""). IFERROR says if the VLOOKUP returns a valid result, then display that, otherwise, display nothing (""). We displayed nothing here (""), but you can also use numbers (0,1, 2, etc.), or text, such as "Formula isn't correct".
</t>
  </si>
  <si>
    <t>Pastry</t>
  </si>
  <si>
    <t>For each match found, what range do you want to sum in?</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</si>
  <si>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
</t>
  </si>
  <si>
    <t xml:space="preserve">GOOD TO KNOW
As you enter each argument's section, the argument's description will be displayed toward the bottom of the form, above the Formula result.
</t>
  </si>
  <si>
    <t xml:space="preserve">GOOD TO KNOW
Clicking Options will let you set the rules for when errors in Excel are displayed or ignored.
</t>
  </si>
  <si>
    <t xml:space="preserve">GOOD TO KNOW: 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in "4" or "8" directly into the formula. 
</t>
  </si>
  <si>
    <t xml:space="preserve">Under the Amount column for Fruit (cell D7), enter =SUM(D3:D6), or type =SUM(, then select that range with the mouse, and press Enter. This will sum the values in cells D3, D4, D5, and D6. Your answer should be 170.
</t>
  </si>
  <si>
    <t>In just a few steps, you'll be up and running with building formulas and functions in Excel, the world's most powerful spreadsheet app.</t>
  </si>
  <si>
    <t>Get started with formulas</t>
  </si>
  <si>
    <t>Formulas:</t>
  </si>
  <si>
    <t>Operation:</t>
  </si>
  <si>
    <t>Answers:</t>
  </si>
  <si>
    <t>EXPERT TIP
Each one of the Fruit and Type cells has a drop-down list where you can select different fruits. Try it, and watch the formulas automatically update.</t>
  </si>
  <si>
    <t>CHECK THIS OUT
You should end up with =VLOOKUP(C10,C5:D8,2,FALSE)</t>
  </si>
  <si>
    <t xml:space="preserve">SUM &gt; </t>
  </si>
  <si>
    <t>COUNT &gt;</t>
  </si>
  <si>
    <t>AVERAGE &gt;</t>
  </si>
  <si>
    <t>MIN &gt;</t>
  </si>
  <si>
    <t>MAX &gt;</t>
  </si>
  <si>
    <t>MIN or MAX &gt;</t>
  </si>
  <si>
    <t>New Total</t>
  </si>
  <si>
    <t>Additional Value</t>
  </si>
  <si>
    <t xml:space="preserve">COUNTIFS is the same as SUMIF, but it lets you use multiple criteria. So in this example, you can look for Fruit and Type, instead of just by Fruit. Select cell H64 and type =COUNTIFS(F50:F61,F64,G50:G61,G64). COUNTIFS is structured like this:
</t>
  </si>
  <si>
    <t>Select cell D64 and type =COUNTIF(C50:C61,C64). COUNTIF is structured like this: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</si>
  <si>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=MAXIFS(E92:E103,C92:C103,C106,D92:D103,D106)
MINIFS 	=MINIFS(E92:E103,C92:C103,C106,D92:D103,D106)
</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</si>
  <si>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</si>
  <si>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</si>
  <si>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</si>
  <si>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Try another example by looking at the formula in cell D12. We got you started with =IF(C12&lt;100,"Less than 100","Greater than or equal to 100"). What happens if you enter a number greater than 100 in cell C12?
</t>
  </si>
  <si>
    <t xml:space="preserve">In cell D28, enter =NOW(), which will give the current time, and will update each time Excel calculates. If you need to change the Time format, you can go to Ctrl+1 &gt; Number &gt; Time &gt; Select the format you want.
</t>
  </si>
  <si>
    <t xml:space="preserve">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</si>
  <si>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know what format code to use, you can use Ctrl+1 &gt; Number to format any cell the way you want.  Then select the Custom option. You can copy the format code that's displayed back to your formula.</t>
  </si>
  <si>
    <t>Shipping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</si>
</sst>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0.00_);[Red]\(&quot;$&quot;#,##0.00\)"/>
    <numFmt numFmtId="164" formatCode="mm/dd/yy;@"/>
    <numFmt numFmtId="165" formatCode="[$-409]h:mm\ AM/PM;@"/>
    <numFmt numFmtId="166" formatCode="[$-409]h:mm:ss\ AM/PM;@"/>
    <numFmt numFmtId="167" formatCode="h:mm;@"/>
    <numFmt numFmtId="168" formatCode="[$-F400]h:mm:ss\ AM/PM"/>
  </numFmts>
  <fonts count="38"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
      <b/>
      <sz val="11"/>
      <color rgb="FF404040"/>
      <name val="Segoe UI"/>
      <family val="2"/>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s>
  <cellStyleXfs count="20">
    <xf numFmtId="0" fontId="0" fillId="0" borderId="0"/>
    <xf numFmtId="0" fontId="5" fillId="0" borderId="0" applyFill="0" applyBorder="0">
      <alignment wrapText="1"/>
    </xf>
    <xf numFmtId="0" fontId="6" fillId="0" borderId="0"/>
    <xf numFmtId="0" fontId="7" fillId="2" borderId="0" applyNumberFormat="0" applyBorder="0" applyProtection="0">
      <alignment horizontal="left" indent="1"/>
    </xf>
    <xf numFmtId="0" fontId="8" fillId="2" borderId="0" applyNumberFormat="0" applyProtection="0">
      <alignment horizontal="left" wrapText="1" indent="4"/>
    </xf>
    <xf numFmtId="0" fontId="5" fillId="2" borderId="0" applyNumberFormat="0" applyProtection="0">
      <alignment horizontal="left" wrapText="1" indent="4"/>
    </xf>
    <xf numFmtId="0" fontId="9" fillId="0" borderId="0"/>
    <xf numFmtId="0" fontId="9" fillId="3" borderId="0" applyNumberFormat="0" applyBorder="0" applyProtection="0"/>
    <xf numFmtId="0" fontId="6" fillId="4" borderId="0"/>
    <xf numFmtId="0" fontId="6" fillId="5" borderId="1"/>
    <xf numFmtId="0" fontId="6" fillId="4" borderId="2"/>
    <xf numFmtId="0" fontId="4" fillId="0" borderId="0"/>
    <xf numFmtId="0" fontId="4" fillId="4" borderId="0"/>
    <xf numFmtId="0" fontId="4" fillId="5" borderId="1"/>
    <xf numFmtId="0" fontId="4" fillId="4" borderId="2"/>
    <xf numFmtId="0" fontId="3" fillId="0" borderId="0"/>
    <xf numFmtId="0" fontId="24" fillId="0" borderId="0" applyNumberFormat="0" applyFill="0" applyBorder="0" applyAlignment="0" applyProtection="0"/>
    <xf numFmtId="0" fontId="2" fillId="4" borderId="0"/>
    <xf numFmtId="0" fontId="2" fillId="5" borderId="1"/>
    <xf numFmtId="0" fontId="2" fillId="4" borderId="2"/>
  </cellStyleXfs>
  <cellXfs count="142">
    <xf numFmtId="0" fontId="0" fillId="0" borderId="0" xfId="0"/>
    <xf numFmtId="0" fontId="6" fillId="0" borderId="0" xfId="2"/>
    <xf numFmtId="0" fontId="8" fillId="2" borderId="0" xfId="4">
      <alignment horizontal="left" wrapText="1" indent="4"/>
    </xf>
    <xf numFmtId="0" fontId="5" fillId="2" borderId="0" xfId="5">
      <alignment horizontal="left" wrapText="1" indent="4"/>
    </xf>
    <xf numFmtId="0" fontId="6" fillId="0" borderId="0" xfId="2" applyAlignment="1">
      <alignment horizontal="left"/>
    </xf>
    <xf numFmtId="0" fontId="10" fillId="0" borderId="0" xfId="0" applyFont="1"/>
    <xf numFmtId="0" fontId="10" fillId="0" borderId="0" xfId="0" applyFont="1" applyAlignment="1">
      <alignment horizontal="left" indent="1"/>
    </xf>
    <xf numFmtId="0" fontId="9" fillId="3" borderId="0" xfId="7"/>
    <xf numFmtId="0" fontId="9" fillId="3" borderId="0" xfId="7" applyAlignment="1">
      <alignment horizontal="right"/>
    </xf>
    <xf numFmtId="0" fontId="9" fillId="0" borderId="0" xfId="6"/>
    <xf numFmtId="0" fontId="11" fillId="0" borderId="0" xfId="2" applyFont="1" applyAlignment="1">
      <alignment horizontal="left"/>
    </xf>
    <xf numFmtId="0" fontId="9" fillId="3" borderId="0" xfId="7" applyAlignment="1">
      <alignment horizontal="left"/>
    </xf>
    <xf numFmtId="14" fontId="0" fillId="0" borderId="0" xfId="0" applyNumberFormat="1"/>
    <xf numFmtId="0" fontId="4" fillId="4" borderId="0" xfId="12"/>
    <xf numFmtId="0" fontId="12" fillId="0" borderId="0" xfId="2" applyFont="1"/>
    <xf numFmtId="0" fontId="12" fillId="0" borderId="0" xfId="2" applyFont="1" applyAlignment="1">
      <alignment wrapText="1"/>
    </xf>
    <xf numFmtId="0" fontId="12" fillId="0" borderId="0" xfId="0" applyFont="1"/>
    <xf numFmtId="0" fontId="12" fillId="0" borderId="0" xfId="2" applyFont="1" applyAlignment="1">
      <alignment horizontal="left"/>
    </xf>
    <xf numFmtId="0" fontId="12" fillId="0" borderId="0" xfId="6" applyFont="1"/>
    <xf numFmtId="0" fontId="13" fillId="0" borderId="0" xfId="0" applyFont="1"/>
    <xf numFmtId="0" fontId="14" fillId="0" borderId="0" xfId="2" applyFont="1"/>
    <xf numFmtId="0" fontId="16" fillId="0" borderId="0" xfId="0" applyFont="1"/>
    <xf numFmtId="0" fontId="14" fillId="0" borderId="0" xfId="2" applyFont="1" applyAlignment="1">
      <alignment horizontal="left"/>
    </xf>
    <xf numFmtId="0" fontId="17" fillId="0" borderId="0" xfId="0" applyFont="1"/>
    <xf numFmtId="0" fontId="15" fillId="0" borderId="0" xfId="6" applyFont="1"/>
    <xf numFmtId="0" fontId="11" fillId="0" borderId="0" xfId="2" applyFont="1" applyAlignment="1">
      <alignment horizontal="right"/>
    </xf>
    <xf numFmtId="0" fontId="9" fillId="0" borderId="0" xfId="2" applyFont="1" applyAlignment="1">
      <alignment horizontal="left"/>
    </xf>
    <xf numFmtId="0" fontId="19" fillId="0" borderId="0" xfId="2" applyFont="1" applyAlignment="1">
      <alignment horizontal="left"/>
    </xf>
    <xf numFmtId="0" fontId="20" fillId="0" borderId="0" xfId="0" applyFont="1"/>
    <xf numFmtId="0" fontId="18" fillId="0" borderId="0" xfId="0" applyFont="1"/>
    <xf numFmtId="0" fontId="18" fillId="0" borderId="0" xfId="0" quotePrefix="1" applyFont="1"/>
    <xf numFmtId="0" fontId="18" fillId="0" borderId="0" xfId="0" applyFont="1" applyAlignment="1">
      <alignment wrapText="1"/>
    </xf>
    <xf numFmtId="0" fontId="21" fillId="3" borderId="0" xfId="7" applyFont="1" applyAlignment="1">
      <alignment horizontal="centerContinuous"/>
    </xf>
    <xf numFmtId="0" fontId="21" fillId="3" borderId="0" xfId="7" applyFont="1" applyAlignment="1">
      <alignment horizontal="left"/>
    </xf>
    <xf numFmtId="0" fontId="21" fillId="3" borderId="0" xfId="7" applyFont="1" applyAlignment="1">
      <alignment horizontal="right"/>
    </xf>
    <xf numFmtId="0" fontId="21" fillId="3" borderId="0" xfId="7" applyFont="1" applyAlignment="1">
      <alignment horizontal="centerContinuous" vertical="center"/>
    </xf>
    <xf numFmtId="0" fontId="0" fillId="0" borderId="0" xfId="0" applyAlignment="1">
      <alignment vertical="center"/>
    </xf>
    <xf numFmtId="8" fontId="0" fillId="0" borderId="0" xfId="0" applyNumberFormat="1" applyAlignment="1">
      <alignment vertical="center"/>
    </xf>
    <xf numFmtId="8" fontId="6" fillId="5" borderId="1" xfId="9" applyNumberFormat="1" applyAlignment="1">
      <alignment vertical="center"/>
    </xf>
    <xf numFmtId="0" fontId="21" fillId="3" borderId="0" xfId="7" applyFont="1"/>
    <xf numFmtId="0" fontId="3" fillId="0" borderId="0" xfId="15"/>
    <xf numFmtId="0" fontId="22" fillId="0" borderId="0" xfId="15" applyFont="1"/>
    <xf numFmtId="0" fontId="23" fillId="0" borderId="0" xfId="15" applyFont="1"/>
    <xf numFmtId="0" fontId="23" fillId="0" borderId="0" xfId="15" applyFont="1" applyAlignment="1">
      <alignment vertical="center"/>
    </xf>
    <xf numFmtId="0" fontId="9" fillId="0" borderId="0" xfId="6" applyAlignment="1">
      <alignment wrapText="1"/>
    </xf>
    <xf numFmtId="0" fontId="3" fillId="0" borderId="0" xfId="2" applyFont="1"/>
    <xf numFmtId="0" fontId="3" fillId="0" borderId="0" xfId="2" applyFont="1" applyAlignment="1">
      <alignment horizontal="left"/>
    </xf>
    <xf numFmtId="0" fontId="3" fillId="0" borderId="0" xfId="2" applyFont="1" applyAlignment="1">
      <alignment horizontal="right"/>
    </xf>
    <xf numFmtId="0" fontId="3" fillId="4" borderId="0" xfId="8" applyFont="1"/>
    <xf numFmtId="0" fontId="3" fillId="4" borderId="0" xfId="8" applyFont="1" applyAlignment="1">
      <alignment horizontal="right"/>
    </xf>
    <xf numFmtId="0" fontId="3" fillId="5" borderId="1" xfId="9" applyFont="1" applyAlignment="1">
      <alignment horizontal="right"/>
    </xf>
    <xf numFmtId="0" fontId="10" fillId="0" borderId="0" xfId="0" applyFont="1" applyAlignment="1">
      <alignment horizontal="center"/>
    </xf>
    <xf numFmtId="0" fontId="3" fillId="0" borderId="0" xfId="2" applyFont="1" applyAlignment="1">
      <alignment horizontal="left" indent="1"/>
    </xf>
    <xf numFmtId="0" fontId="10" fillId="0" borderId="0" xfId="0" applyFont="1" applyAlignment="1">
      <alignment horizontal="left" indent="2"/>
    </xf>
    <xf numFmtId="0" fontId="3" fillId="4" borderId="2" xfId="10" applyFont="1"/>
    <xf numFmtId="0" fontId="3" fillId="5" borderId="1" xfId="9" applyFont="1" applyAlignment="1">
      <alignment horizontal="right" vertical="center"/>
    </xf>
    <xf numFmtId="0" fontId="3" fillId="0" borderId="0" xfId="2" applyFont="1" applyAlignment="1">
      <alignment horizontal="center"/>
    </xf>
    <xf numFmtId="0" fontId="3" fillId="0" borderId="0" xfId="2" quotePrefix="1" applyFont="1" applyAlignment="1">
      <alignment horizontal="left"/>
    </xf>
    <xf numFmtId="0" fontId="3" fillId="0" borderId="0" xfId="2" applyFont="1" applyAlignment="1">
      <alignment horizontal="left" indent="2"/>
    </xf>
    <xf numFmtId="0" fontId="3" fillId="0" borderId="0" xfId="11" applyFont="1" applyAlignment="1">
      <alignment horizontal="left" indent="1"/>
    </xf>
    <xf numFmtId="0" fontId="3" fillId="4" borderId="2" xfId="14" applyFont="1"/>
    <xf numFmtId="0" fontId="3" fillId="4" borderId="2" xfId="10" applyFont="1" applyAlignment="1">
      <alignment horizontal="center" vertical="center"/>
    </xf>
    <xf numFmtId="0" fontId="3" fillId="4" borderId="2" xfId="10" applyFont="1" applyAlignment="1">
      <alignment horizontal="left"/>
    </xf>
    <xf numFmtId="0" fontId="6" fillId="5" borderId="1" xfId="9"/>
    <xf numFmtId="0" fontId="0" fillId="0" borderId="3" xfId="0" applyBorder="1" applyAlignment="1">
      <alignment vertical="center"/>
    </xf>
    <xf numFmtId="8" fontId="0" fillId="0" borderId="3" xfId="0" applyNumberFormat="1" applyBorder="1" applyAlignment="1">
      <alignment vertical="center"/>
    </xf>
    <xf numFmtId="0" fontId="2" fillId="5" borderId="1" xfId="18"/>
    <xf numFmtId="0" fontId="25" fillId="0" borderId="0" xfId="0" applyFont="1"/>
    <xf numFmtId="0" fontId="2" fillId="4" borderId="0" xfId="17"/>
    <xf numFmtId="0" fontId="24" fillId="0" borderId="0" xfId="16"/>
    <xf numFmtId="0" fontId="26" fillId="2" borderId="0" xfId="3" applyFont="1">
      <alignment horizontal="left" indent="1"/>
    </xf>
    <xf numFmtId="0" fontId="21" fillId="3" borderId="4" xfId="7" applyFont="1" applyBorder="1" applyAlignment="1">
      <alignment horizontal="left" vertical="center"/>
    </xf>
    <xf numFmtId="0" fontId="21" fillId="3" borderId="4" xfId="7" applyFont="1" applyBorder="1" applyAlignment="1">
      <alignment horizontal="right" vertical="center"/>
    </xf>
    <xf numFmtId="0" fontId="0" fillId="6" borderId="4" xfId="0" applyFill="1" applyBorder="1" applyAlignment="1">
      <alignment vertical="center"/>
    </xf>
    <xf numFmtId="8" fontId="0" fillId="6" borderId="4" xfId="0" applyNumberFormat="1" applyFill="1" applyBorder="1" applyAlignment="1">
      <alignment vertical="center"/>
    </xf>
    <xf numFmtId="0" fontId="27" fillId="0" borderId="0" xfId="0" applyFont="1" applyAlignment="1">
      <alignment horizontal="centerContinuous" vertical="center"/>
    </xf>
    <xf numFmtId="0" fontId="17" fillId="0" borderId="0" xfId="0" applyFont="1" applyAlignment="1">
      <alignment horizontal="centerContinuous"/>
    </xf>
    <xf numFmtId="0" fontId="9" fillId="3" borderId="0" xfId="7" applyAlignment="1">
      <alignment horizontal="center" vertical="center"/>
    </xf>
    <xf numFmtId="0" fontId="28" fillId="0" borderId="0" xfId="6" applyFont="1"/>
    <xf numFmtId="0" fontId="29" fillId="0" borderId="0" xfId="11" applyFont="1"/>
    <xf numFmtId="0" fontId="30" fillId="0" borderId="0" xfId="0" applyFont="1" applyAlignment="1">
      <alignment horizontal="centerContinuous" vertical="center"/>
    </xf>
    <xf numFmtId="0" fontId="31" fillId="0" borderId="0" xfId="11" applyFont="1" applyAlignment="1">
      <alignment horizontal="centerContinuous"/>
    </xf>
    <xf numFmtId="0" fontId="31" fillId="0" borderId="0" xfId="11" applyFont="1"/>
    <xf numFmtId="0" fontId="28" fillId="3" borderId="0" xfId="7" applyFont="1"/>
    <xf numFmtId="0" fontId="28" fillId="3" borderId="0" xfId="7" applyFont="1" applyAlignment="1">
      <alignment horizontal="right"/>
    </xf>
    <xf numFmtId="0" fontId="32" fillId="0" borderId="0" xfId="11" applyFont="1"/>
    <xf numFmtId="0" fontId="31" fillId="0" borderId="0" xfId="11" applyFont="1" applyAlignment="1">
      <alignment horizontal="left"/>
    </xf>
    <xf numFmtId="0" fontId="32" fillId="0" borderId="0" xfId="11" applyFont="1" applyAlignment="1">
      <alignment horizontal="left"/>
    </xf>
    <xf numFmtId="0" fontId="33" fillId="0" borderId="0" xfId="0" applyFont="1"/>
    <xf numFmtId="0" fontId="34" fillId="0" borderId="0" xfId="0" applyFont="1"/>
    <xf numFmtId="0" fontId="31" fillId="4" borderId="2" xfId="14" applyFont="1"/>
    <xf numFmtId="0" fontId="31" fillId="5" borderId="1" xfId="13" applyFont="1" applyAlignment="1">
      <alignment horizontal="right"/>
    </xf>
    <xf numFmtId="0" fontId="3" fillId="0" borderId="0" xfId="2" applyFont="1" applyAlignment="1">
      <alignment horizontal="centerContinuous"/>
    </xf>
    <xf numFmtId="0" fontId="0" fillId="0" borderId="0" xfId="0" applyAlignment="1">
      <alignment horizontal="centerContinuous"/>
    </xf>
    <xf numFmtId="0" fontId="9" fillId="0" borderId="0" xfId="6" applyAlignment="1">
      <alignment horizontal="centerContinuous"/>
    </xf>
    <xf numFmtId="0" fontId="6" fillId="4" borderId="2" xfId="10"/>
    <xf numFmtId="0" fontId="2"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9" fillId="0" borderId="0" xfId="2" applyFont="1" applyAlignment="1">
      <alignment horizontal="left" wrapText="1"/>
    </xf>
    <xf numFmtId="0" fontId="12" fillId="0" borderId="0" xfId="0" applyFont="1" applyAlignment="1">
      <alignment wrapText="1"/>
    </xf>
    <xf numFmtId="0" fontId="12" fillId="0" borderId="0" xfId="2" applyFont="1" applyAlignment="1">
      <alignment horizontal="left" wrapText="1"/>
    </xf>
    <xf numFmtId="0" fontId="36" fillId="0" borderId="0" xfId="0" applyFont="1"/>
    <xf numFmtId="0" fontId="30" fillId="0" borderId="0" xfId="0" applyFont="1" applyAlignment="1">
      <alignment horizontal="center" vertical="center"/>
    </xf>
    <xf numFmtId="0" fontId="30"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2" fillId="5" borderId="5" xfId="18" applyBorder="1"/>
    <xf numFmtId="0" fontId="2" fillId="4" borderId="6" xfId="17" applyBorder="1" applyAlignment="1">
      <alignment horizontal="left"/>
    </xf>
    <xf numFmtId="0" fontId="6" fillId="4" borderId="6" xfId="8" applyBorder="1"/>
    <xf numFmtId="0" fontId="4" fillId="4" borderId="2" xfId="14"/>
    <xf numFmtId="0" fontId="31" fillId="5" borderId="7" xfId="13" applyFont="1" applyBorder="1"/>
    <xf numFmtId="0" fontId="31" fillId="4" borderId="6" xfId="12" applyFont="1" applyBorder="1"/>
    <xf numFmtId="0" fontId="31" fillId="4" borderId="8" xfId="12" applyFont="1" applyBorder="1"/>
    <xf numFmtId="0" fontId="4" fillId="5" borderId="10" xfId="13" applyBorder="1"/>
    <xf numFmtId="0" fontId="3" fillId="5" borderId="7" xfId="9" applyFont="1" applyBorder="1" applyAlignment="1">
      <alignment horizontal="right"/>
    </xf>
    <xf numFmtId="0" fontId="3" fillId="4" borderId="6" xfId="8" applyFont="1" applyBorder="1"/>
    <xf numFmtId="0" fontId="3" fillId="4" borderId="6" xfId="8" applyFont="1" applyBorder="1" applyAlignment="1">
      <alignment horizontal="right"/>
    </xf>
    <xf numFmtId="0" fontId="3" fillId="4" borderId="6" xfId="8" applyFont="1" applyBorder="1" applyAlignment="1">
      <alignment horizontal="left"/>
    </xf>
    <xf numFmtId="164" fontId="3" fillId="5" borderId="10" xfId="9" applyNumberFormat="1" applyFont="1" applyBorder="1" applyAlignment="1">
      <alignment horizontal="right"/>
    </xf>
    <xf numFmtId="0" fontId="6" fillId="4" borderId="11" xfId="10" applyBorder="1"/>
    <xf numFmtId="0" fontId="6" fillId="5" borderId="10" xfId="9" applyBorder="1"/>
    <xf numFmtId="164" fontId="6" fillId="4" borderId="11" xfId="10" applyNumberFormat="1" applyBorder="1"/>
    <xf numFmtId="166" fontId="3" fillId="5" borderId="10" xfId="9" applyNumberFormat="1" applyFont="1" applyBorder="1" applyAlignment="1">
      <alignment horizontal="right"/>
    </xf>
    <xf numFmtId="165" fontId="6" fillId="5" borderId="10" xfId="9" applyNumberFormat="1" applyBorder="1"/>
    <xf numFmtId="0" fontId="2" fillId="4" borderId="6" xfId="8" applyFont="1" applyBorder="1"/>
    <xf numFmtId="164" fontId="6" fillId="4" borderId="6" xfId="8" applyNumberFormat="1" applyBorder="1"/>
    <xf numFmtId="165" fontId="6" fillId="4" borderId="6" xfId="8" applyNumberFormat="1" applyBorder="1"/>
    <xf numFmtId="165" fontId="3" fillId="5" borderId="10" xfId="9" applyNumberFormat="1" applyFont="1" applyBorder="1" applyAlignment="1">
      <alignment horizontal="right"/>
    </xf>
    <xf numFmtId="0" fontId="6" fillId="4" borderId="1" xfId="8" applyBorder="1"/>
    <xf numFmtId="0" fontId="11" fillId="0" borderId="9" xfId="11" applyFont="1" applyBorder="1" applyAlignment="1">
      <alignment horizontal="left"/>
    </xf>
    <xf numFmtId="0" fontId="31" fillId="5" borderId="1" xfId="13" applyFont="1"/>
    <xf numFmtId="0" fontId="9" fillId="0" borderId="0" xfId="11" applyFont="1" applyAlignment="1">
      <alignment horizontal="left" wrapText="1"/>
    </xf>
    <xf numFmtId="14" fontId="31" fillId="0" borderId="0" xfId="11" applyNumberFormat="1" applyFont="1"/>
    <xf numFmtId="167" fontId="0" fillId="0" borderId="0" xfId="0" applyNumberFormat="1"/>
    <xf numFmtId="0" fontId="37" fillId="0" borderId="0" xfId="0" applyFont="1"/>
    <xf numFmtId="2" fontId="6" fillId="4" borderId="11" xfId="10" applyNumberFormat="1" applyBorder="1"/>
    <xf numFmtId="168" fontId="0" fillId="0" borderId="0" xfId="0" applyNumberFormat="1"/>
    <xf numFmtId="0" fontId="21" fillId="3" borderId="0" xfId="7" applyFont="1" applyBorder="1" applyAlignment="1">
      <alignment horizontal="right" vertical="center"/>
    </xf>
    <xf numFmtId="9" fontId="6" fillId="0" borderId="0" xfId="2" applyNumberFormat="1" applyAlignment="1">
      <alignment horizontal="left"/>
    </xf>
    <xf numFmtId="2" fontId="0" fillId="0" borderId="0" xfId="0" applyNumberFormat="1"/>
    <xf numFmtId="0" fontId="1" fillId="0" borderId="0" xfId="2" applyFont="1" applyAlignment="1">
      <alignment horizontal="left"/>
    </xf>
  </cellXfs>
  <cellStyles count="20">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Hyperlink" xfId="16" builtinId="8"/>
    <cellStyle name="Normal" xfId="0" builtinId="0"/>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3" Type="http://schemas.openxmlformats.org/officeDocument/2006/relationships/hyperlink" Target="#Start!A1"/><Relationship Id="rId7" Type="http://schemas.openxmlformats.org/officeDocument/2006/relationships/image" Target="../media/image4.png"/><Relationship Id="rId12" Type="http://schemas.openxmlformats.org/officeDocument/2006/relationships/hyperlink" Target="https://go.microsoft.com/fwlink/?linkid=859377" TargetMode="External"/><Relationship Id="rId2" Type="http://schemas.openxmlformats.org/officeDocument/2006/relationships/hyperlink" Target="#'Introduction to Functions'!A1"/><Relationship Id="rId16" Type="http://schemas.openxmlformats.org/officeDocument/2006/relationships/image" Target="../media/image9.svg"/><Relationship Id="rId1" Type="http://schemas.openxmlformats.org/officeDocument/2006/relationships/hyperlink" Target="#Basics!A60"/><Relationship Id="rId6" Type="http://schemas.openxmlformats.org/officeDocument/2006/relationships/hyperlink" Target="https://go.microsoft.com/fwlink/?linkid=858265" TargetMode="External"/><Relationship Id="rId11" Type="http://schemas.openxmlformats.org/officeDocument/2006/relationships/hyperlink" Target="https://go.microsoft.com/fwlink/?linkid=859375"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go.microsoft.com/fwlink/?linkid=859373" TargetMode="External"/><Relationship Id="rId4" Type="http://schemas.openxmlformats.org/officeDocument/2006/relationships/image" Target="../media/image2.png"/><Relationship Id="rId9" Type="http://schemas.openxmlformats.org/officeDocument/2006/relationships/hyperlink" Target="https://go.microsoft.com/fwlink/?linkid=859369"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59391" TargetMode="External"/><Relationship Id="rId13" Type="http://schemas.openxmlformats.org/officeDocument/2006/relationships/image" Target="../media/image7.svg"/><Relationship Id="rId3" Type="http://schemas.openxmlformats.org/officeDocument/2006/relationships/hyperlink" Target="https://go.microsoft.com/fwlink/?linkid=859389" TargetMode="External"/><Relationship Id="rId7" Type="http://schemas.openxmlformats.org/officeDocument/2006/relationships/hyperlink" Target="https://go.microsoft.com/fwlink/?linkid=858238" TargetMode="External"/><Relationship Id="rId12" Type="http://schemas.openxmlformats.org/officeDocument/2006/relationships/image" Target="../media/image6.png"/><Relationship Id="rId17" Type="http://schemas.openxmlformats.org/officeDocument/2006/relationships/hyperlink" Target="#'Introduction to Functions'!A63"/><Relationship Id="rId2" Type="http://schemas.openxmlformats.org/officeDocument/2006/relationships/hyperlink" Target="#AVERAGE!A1"/><Relationship Id="rId16" Type="http://schemas.openxmlformats.org/officeDocument/2006/relationships/image" Target="../media/image13.png"/><Relationship Id="rId1" Type="http://schemas.openxmlformats.org/officeDocument/2006/relationships/hyperlink" Target="#'Introduction to Functions'!A1"/><Relationship Id="rId6" Type="http://schemas.openxmlformats.org/officeDocument/2006/relationships/hyperlink" Target="https://go.microsoft.com/fwlink/?linkid=858233" TargetMode="External"/><Relationship Id="rId11" Type="http://schemas.openxmlformats.org/officeDocument/2006/relationships/image" Target="../media/image12.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59392" TargetMode="External"/><Relationship Id="rId3" Type="http://schemas.openxmlformats.org/officeDocument/2006/relationships/hyperlink" Target="#'Introduction to Function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37" TargetMode="External"/><Relationship Id="rId10" Type="http://schemas.openxmlformats.org/officeDocument/2006/relationships/hyperlink" Target="https://go.microsoft.com/fwlink/?linkid=859395" TargetMode="External"/><Relationship Id="rId4" Type="http://schemas.openxmlformats.org/officeDocument/2006/relationships/hyperlink" Target="#'MIN &amp; MAX'!A1"/><Relationship Id="rId9" Type="http://schemas.openxmlformats.org/officeDocument/2006/relationships/hyperlink" Target="https://go.microsoft.com/fwlink/?linkid=859393"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go.microsoft.com/fwlink/?linkid=858240" TargetMode="External"/><Relationship Id="rId6" Type="http://schemas.openxmlformats.org/officeDocument/2006/relationships/image" Target="../media/image8.png"/><Relationship Id="rId5" Type="http://schemas.openxmlformats.org/officeDocument/2006/relationships/hyperlink" Target="https://go.microsoft.com/fwlink/?linkid=859418" TargetMode="External"/><Relationship Id="rId4" Type="http://schemas.openxmlformats.org/officeDocument/2006/relationships/hyperlink" Target="https://go.microsoft.com/fwlink/?linkid=858241"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58253" TargetMode="External"/><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1.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0.png"/><Relationship Id="rId5" Type="http://schemas.openxmlformats.org/officeDocument/2006/relationships/hyperlink" Target="https://go.microsoft.com/fwlink/?linkid=858252" TargetMode="External"/><Relationship Id="rId10" Type="http://schemas.openxmlformats.org/officeDocument/2006/relationships/hyperlink" Target="https://go.microsoft.com/fwlink/?linkid=858254" TargetMode="External"/><Relationship Id="rId4" Type="http://schemas.openxmlformats.org/officeDocument/2006/relationships/hyperlink" Target="#'Joining text and numbers'!A1"/><Relationship Id="rId9" Type="http://schemas.openxmlformats.org/officeDocument/2006/relationships/hyperlink" Target="https://go.microsoft.com/fwlink/?linkid=859419"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go.microsoft.com/fwlink/?linkid=858256" TargetMode="External"/><Relationship Id="rId3" Type="http://schemas.openxmlformats.org/officeDocument/2006/relationships/image" Target="../media/image14.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55" TargetMode="External"/><Relationship Id="rId10" Type="http://schemas.openxmlformats.org/officeDocument/2006/relationships/hyperlink" Target="#'Joining text and numbers'!A60"/><Relationship Id="rId4" Type="http://schemas.openxmlformats.org/officeDocument/2006/relationships/image" Target="../media/image15.svg"/><Relationship Id="rId9" Type="http://schemas.openxmlformats.org/officeDocument/2006/relationships/hyperlink" Target="https://go.microsoft.com/fwlink/?linkid=859420"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1.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18.png"/><Relationship Id="rId2" Type="http://schemas.openxmlformats.org/officeDocument/2006/relationships/image" Target="../media/image10.png"/><Relationship Id="rId16" Type="http://schemas.openxmlformats.org/officeDocument/2006/relationships/hyperlink" Target="https://go.microsoft.com/fwlink/?linkid=858260" TargetMode="External"/><Relationship Id="rId1" Type="http://schemas.openxmlformats.org/officeDocument/2006/relationships/hyperlink" Target="#VLOOKUP!A1"/><Relationship Id="rId6" Type="http://schemas.openxmlformats.org/officeDocument/2006/relationships/hyperlink" Target="https://support.office.com/en-us/article/Define-and-use-names-in-formulas-4D0F13AC-53B7-422E-AFD2-ABD7FF379C64" TargetMode="External"/><Relationship Id="rId11" Type="http://schemas.openxmlformats.org/officeDocument/2006/relationships/hyperlink" Target="https://go.microsoft.com/fwlink/?linkid=858258" TargetMode="External"/><Relationship Id="rId5" Type="http://schemas.openxmlformats.org/officeDocument/2006/relationships/image" Target="../media/image17.svg"/><Relationship Id="rId15" Type="http://schemas.openxmlformats.org/officeDocument/2006/relationships/hyperlink" Target="https://go.microsoft.com/fwlink/?linkid=859421" TargetMode="External"/><Relationship Id="rId10" Type="http://schemas.openxmlformats.org/officeDocument/2006/relationships/hyperlink" Target="#'Joining text and numbers'!A1"/><Relationship Id="rId4" Type="http://schemas.openxmlformats.org/officeDocument/2006/relationships/image" Target="../media/image16.png"/><Relationship Id="rId9" Type="http://schemas.openxmlformats.org/officeDocument/2006/relationships/hyperlink" Target="#'IF statements'!A60"/><Relationship Id="rId14" Type="http://schemas.openxmlformats.org/officeDocument/2006/relationships/hyperlink" Target="https://go.microsoft.com/fwlink/?linkid=858259"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go.microsoft.com/fwlink/?linkid=858265" TargetMode="External"/><Relationship Id="rId13"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hyperlink" Target="https://go.microsoft.com/fwlink/?linkid=858264" TargetMode="External"/><Relationship Id="rId12" Type="http://schemas.openxmlformats.org/officeDocument/2006/relationships/image" Target="../media/image11.svg"/><Relationship Id="rId2" Type="http://schemas.openxmlformats.org/officeDocument/2006/relationships/hyperlink" Target="https://go.microsoft.com/fwlink/?linkid=858261" TargetMode="External"/><Relationship Id="rId1" Type="http://schemas.openxmlformats.org/officeDocument/2006/relationships/hyperlink" Target="#'Conditional Functions'!A1"/><Relationship Id="rId6" Type="http://schemas.openxmlformats.org/officeDocument/2006/relationships/hyperlink" Target="https://go.microsoft.com/fwlink/?linkid=859425" TargetMode="External"/><Relationship Id="rId11" Type="http://schemas.openxmlformats.org/officeDocument/2006/relationships/image" Target="../media/image10.png"/><Relationship Id="rId5" Type="http://schemas.openxmlformats.org/officeDocument/2006/relationships/hyperlink" Target="https://go.microsoft.com/fwlink/?linkid=859424" TargetMode="External"/><Relationship Id="rId10" Type="http://schemas.openxmlformats.org/officeDocument/2006/relationships/hyperlink" Target="#'IF statements'!A1"/><Relationship Id="rId4" Type="http://schemas.openxmlformats.org/officeDocument/2006/relationships/image" Target="../media/image5.svg"/><Relationship Id="rId9" Type="http://schemas.openxmlformats.org/officeDocument/2006/relationships/hyperlink" Target="#VLOOKUP!D62"/><Relationship Id="rId14" Type="http://schemas.openxmlformats.org/officeDocument/2006/relationships/image" Target="../media/image20.sv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58250" TargetMode="External"/><Relationship Id="rId13" Type="http://schemas.openxmlformats.org/officeDocument/2006/relationships/hyperlink" Target="https://go.microsoft.com/fwlink/?linkid=858247" TargetMode="External"/><Relationship Id="rId18" Type="http://schemas.openxmlformats.org/officeDocument/2006/relationships/image" Target="../media/image16.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5.svg"/><Relationship Id="rId12" Type="http://schemas.openxmlformats.org/officeDocument/2006/relationships/hyperlink" Target="https://go.microsoft.com/fwlink/?linkid=858248" TargetMode="External"/><Relationship Id="rId17" Type="http://schemas.openxmlformats.org/officeDocument/2006/relationships/hyperlink" Target="https://support.office.com/en-us/article/Create-a-PivotTable-to-analyze-worksheet-data-A9A84538-BFE9-40A9-A8E9-F99134456576" TargetMode="External"/><Relationship Id="rId2" Type="http://schemas.openxmlformats.org/officeDocument/2006/relationships/image" Target="../media/image9.svg"/><Relationship Id="rId16" Type="http://schemas.openxmlformats.org/officeDocument/2006/relationships/hyperlink" Target="https://go.microsoft.com/fwlink/?linkid=858251" TargetMode="External"/><Relationship Id="rId20" Type="http://schemas.openxmlformats.org/officeDocument/2006/relationships/hyperlink" Target="#'Conditional Functions'!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go.microsoft.com/fwlink/?linkid=858246" TargetMode="External"/><Relationship Id="rId5" Type="http://schemas.openxmlformats.org/officeDocument/2006/relationships/hyperlink" Target="https://go.microsoft.com/fwlink/?linkid=859426" TargetMode="External"/><Relationship Id="rId15" Type="http://schemas.openxmlformats.org/officeDocument/2006/relationships/hyperlink" Target="https://go.microsoft.com/fwlink/?linkid=858244" TargetMode="External"/><Relationship Id="rId23" Type="http://schemas.openxmlformats.org/officeDocument/2006/relationships/hyperlink" Target="#VLOOKUP!A1"/><Relationship Id="rId10" Type="http://schemas.openxmlformats.org/officeDocument/2006/relationships/hyperlink" Target="https://go.microsoft.com/fwlink/?linkid=858245" TargetMode="External"/><Relationship Id="rId19" Type="http://schemas.openxmlformats.org/officeDocument/2006/relationships/image" Target="../media/image17.svg"/><Relationship Id="rId4" Type="http://schemas.openxmlformats.org/officeDocument/2006/relationships/hyperlink" Target="#'Conditional Functions'!A1"/><Relationship Id="rId9" Type="http://schemas.openxmlformats.org/officeDocument/2006/relationships/hyperlink" Target="https://go.microsoft.com/fwlink/?linkid=858249" TargetMode="External"/><Relationship Id="rId14" Type="http://schemas.openxmlformats.org/officeDocument/2006/relationships/hyperlink" Target="https://go.microsoft.com/fwlink/?linkid=858243" TargetMode="External"/><Relationship Id="rId22"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62331" TargetMode="External"/><Relationship Id="rId13" Type="http://schemas.openxmlformats.org/officeDocument/2006/relationships/image" Target="../media/image9.svg"/><Relationship Id="rId3" Type="http://schemas.openxmlformats.org/officeDocument/2006/relationships/hyperlink" Target="https://go.microsoft.com/fwlink/?linkid=862329" TargetMode="External"/><Relationship Id="rId7" Type="http://schemas.openxmlformats.org/officeDocument/2006/relationships/hyperlink" Target="https://go.microsoft.com/fwlink/?linkid=862332"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go.microsoft.com/fwlink/?linkid=862330" TargetMode="External"/><Relationship Id="rId11" Type="http://schemas.openxmlformats.org/officeDocument/2006/relationships/image" Target="../media/image21.png"/><Relationship Id="rId5" Type="http://schemas.openxmlformats.org/officeDocument/2006/relationships/image" Target="../media/image5.svg"/><Relationship Id="rId10" Type="http://schemas.openxmlformats.org/officeDocument/2006/relationships/hyperlink" Target="#'Formula Errors'!A1"/><Relationship Id="rId4" Type="http://schemas.openxmlformats.org/officeDocument/2006/relationships/image" Target="../media/image4.png"/><Relationship Id="rId9" Type="http://schemas.openxmlformats.org/officeDocument/2006/relationships/hyperlink" Target="#'Conditional Functions'!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go.microsoft.com/fwlink/?linkid=862335" TargetMode="External"/><Relationship Id="rId3" Type="http://schemas.openxmlformats.org/officeDocument/2006/relationships/hyperlink" Target="#'Function Wizard'!A1"/><Relationship Id="rId7" Type="http://schemas.openxmlformats.org/officeDocument/2006/relationships/image" Target="../media/image8.png"/><Relationship Id="rId12" Type="http://schemas.openxmlformats.org/officeDocument/2006/relationships/hyperlink" Target="https://go.microsoft.com/fwlink/?linkid=862337" TargetMode="External"/><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0.svg"/><Relationship Id="rId11" Type="http://schemas.openxmlformats.org/officeDocument/2006/relationships/image" Target="../media/image5.svg"/><Relationship Id="rId5" Type="http://schemas.openxmlformats.org/officeDocument/2006/relationships/image" Target="../media/image19.png"/><Relationship Id="rId10" Type="http://schemas.openxmlformats.org/officeDocument/2006/relationships/image" Target="../media/image4.png"/><Relationship Id="rId4" Type="http://schemas.openxmlformats.org/officeDocument/2006/relationships/hyperlink" Target="#'Learn more'!A1"/><Relationship Id="rId9" Type="http://schemas.openxmlformats.org/officeDocument/2006/relationships/hyperlink" Target="https://go.microsoft.com/fwlink/?linkid=862336" TargetMode="External"/><Relationship Id="rId14" Type="http://schemas.openxmlformats.org/officeDocument/2006/relationships/hyperlink" Target="https://go.microsoft.com/fwlink/?linkid=862334" TargetMode="External"/></Relationships>
</file>

<file path=xl/drawings/_rels/drawing13.xml.rels><?xml version="1.0" encoding="UTF-8" standalone="yes"?>
<Relationships xmlns="http://schemas.openxmlformats.org/package/2006/relationships"><Relationship Id="rId3" Type="http://schemas.openxmlformats.org/officeDocument/2006/relationships/hyperlink" Target="https://go.microsoft.com/fwlink/?linkid=859433" TargetMode="External"/><Relationship Id="rId7" Type="http://schemas.openxmlformats.org/officeDocument/2006/relationships/image" Target="../media/image27.svg"/><Relationship Id="rId2" Type="http://schemas.openxmlformats.org/officeDocument/2006/relationships/hyperlink" Target="https://go.microsoft.com/fwlink/?linkid=859431" TargetMode="External"/><Relationship Id="rId1" Type="http://schemas.openxmlformats.org/officeDocument/2006/relationships/hyperlink" Target="https://go.microsoft.com/fwlink/?linkid=859430" TargetMode="External"/><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4306" y="349250"/>
          <a:ext cx="5768213" cy="4419600"/>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Basics: doing math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Basics: doing math with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can Add, Subtract, Multiply, and Divide in Excel without using any built-in functions. You just need to use some basic operators: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 formulas start with an equals (=) sign.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F3,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F4,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US" sz="1200" b="0" i="0" kern="1200" baseline="0">
                  <a:solidFill>
                    <a:schemeClr val="dk1"/>
                  </a:solidFill>
                  <a:effectLst/>
                  <a:latin typeface="Segoe UI" panose="020B0502040204020203" pitchFamily="34" charset="0"/>
                  <a:ea typeface="+mn-ea"/>
                  <a:cs typeface="Segoe UI" panose="020B0502040204020203" pitchFamily="34" charset="0"/>
                </a:rPr>
                <a:t>, then press </a:t>
              </a:r>
              <a:r>
                <a:rPr lang="en-US" sz="1200" b="1" i="0" kern="1200" baseline="0">
                  <a:solidFill>
                    <a:schemeClr val="dk1"/>
                  </a:solidFill>
                  <a:effectLst/>
                  <a:latin typeface="Segoe UI" panose="020B0502040204020203" pitchFamily="34" charset="0"/>
                  <a:ea typeface="+mn-ea"/>
                  <a:cs typeface="Segoe UI" panose="020B0502040204020203" pitchFamily="34" charset="0"/>
                </a:rPr>
                <a:t>Enter</a:t>
              </a:r>
              <a:r>
                <a:rPr lang="en-US"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F5,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F6,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formulas, cells, and ranges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160500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656989"/>
          <a:ext cx="5294043"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is made up of individual cells that are grouped into rows and columns. Rows are numbered, and columns are lettered. There are over 1 million rows and 16,000 columns, and you can put formulas in any of them.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xt_Step"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can contain cell references, ranges of cell references, operators, and constants. The following are all examples of formulas: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38</xdr:row>
      <xdr:rowOff>56180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69081" y="7520140"/>
          <a:ext cx="5429250" cy="79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You'll notice that in our third example above, we used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 function is a pre-built command that takes a value or values, calculates them in a certain way, and returns a result. For instance,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takes the cell references or ranges you specify, and totals them. In this example it takes the cells A1 through A10, and totals them. Excel has over 400 functions, which you can explore 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with functions start with an equals sign, then the function name follows with its arguments (the values a function uses to calculate) wrapped in parentheses.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xt_Step" descr="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confirm a formula by pressing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Once you do that the formula will calculate, and the result will be displayed in the cell. To see the formula itself, you can look at the formula bar beneath the Ribbon, or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Edit mode, where you'll see the formula in the cell.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again to finalize the formula and calculate the result.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5</xdr:col>
      <xdr:colOff>421455</xdr:colOff>
      <xdr:row>6</xdr:row>
      <xdr:rowOff>114299</xdr:rowOff>
    </xdr:from>
    <xdr:to>
      <xdr:col>8</xdr:col>
      <xdr:colOff>154754</xdr:colOff>
      <xdr:row>12</xdr:row>
      <xdr:rowOff>123824</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9613080" y="1847849"/>
          <a:ext cx="2400299" cy="1117600"/>
          <a:chOff x="9048750" y="3743325"/>
          <a:chExt cx="2263181" cy="1153413"/>
        </a:xfrm>
      </xdr:grpSpPr>
      <xdr:sp macro="" textlink="">
        <xdr:nvSpPr>
          <xdr:cNvPr id="140" name="Step"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raise a value to a power by using the carat (</a:t>
            </a:r>
            <a:r>
              <a:rPr lang="en-US" sz="1100" b="1" i="0" kern="1200" baseline="0">
                <a:solidFill>
                  <a:schemeClr val="dk1"/>
                </a:solidFill>
                <a:effectLst/>
                <a:latin typeface="+mn-lt"/>
                <a:ea typeface="+mn-ea"/>
                <a:cs typeface="+mn-cs"/>
              </a:rPr>
              <a:t>^</a:t>
            </a:r>
            <a:r>
              <a:rPr lang="en-US" sz="1100" b="0" i="0" kern="1200" baseline="0">
                <a:solidFill>
                  <a:schemeClr val="dk1"/>
                </a:solidFill>
                <a:effectLst/>
                <a:latin typeface="+mn-lt"/>
                <a:ea typeface="+mn-ea"/>
                <a:cs typeface="+mn-cs"/>
              </a:rPr>
              <a:t>) symbol, like =C3^C4. Enter it with </a:t>
            </a:r>
            <a:r>
              <a:rPr lang="en-US" sz="1100" b="1" i="0" kern="1200" baseline="0">
                <a:solidFill>
                  <a:schemeClr val="dk1"/>
                </a:solidFill>
                <a:effectLst/>
                <a:latin typeface="+mn-lt"/>
                <a:ea typeface="+mn-ea"/>
                <a:cs typeface="+mn-cs"/>
              </a:rPr>
              <a:t>Shift+6</a:t>
            </a:r>
            <a:r>
              <a:rPr lang="en-US"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0</xdr:col>
      <xdr:colOff>352425</xdr:colOff>
      <xdr:row>53</xdr:row>
      <xdr:rowOff>47624</xdr:rowOff>
    </xdr:from>
    <xdr:to>
      <xdr:col>1</xdr:col>
      <xdr:colOff>5237988</xdr:colOff>
      <xdr:row>67</xdr:row>
      <xdr:rowOff>152399</xdr:rowOff>
    </xdr:to>
    <xdr:grpSp>
      <xdr:nvGrpSpPr>
        <xdr:cNvPr id="143" name="Group 142">
          <a:extLst>
            <a:ext uri="{FF2B5EF4-FFF2-40B4-BE49-F238E27FC236}">
              <a16:creationId xmlns:a16="http://schemas.microsoft.com/office/drawing/2014/main" id="{79AC946A-932E-4F38-8B0A-9F23F83F1E52}"/>
            </a:ext>
          </a:extLst>
        </xdr:cNvPr>
        <xdr:cNvGrpSpPr/>
      </xdr:nvGrpSpPr>
      <xdr:grpSpPr>
        <a:xfrm>
          <a:off x="349250" y="10709274"/>
          <a:ext cx="5774563" cy="2635250"/>
          <a:chOff x="350069" y="11620499"/>
          <a:chExt cx="5733288" cy="2771775"/>
        </a:xfrm>
      </xdr:grpSpPr>
      <xdr:sp macro="" textlink="">
        <xdr:nvSpPr>
          <xdr:cNvPr id="144" name="Rectangle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5" name="Step" descr="More information on the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Straight Connector 145" descr="Decorative lin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descr="Decorative lin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oup 147">
          <a:extLst>
            <a:ext uri="{FF2B5EF4-FFF2-40B4-BE49-F238E27FC236}">
              <a16:creationId xmlns:a16="http://schemas.microsoft.com/office/drawing/2014/main" id="{CA7B2371-3B06-4B9B-9469-235F43CE38D0}"/>
            </a:ext>
          </a:extLst>
        </xdr:cNvPr>
        <xdr:cNvGrpSpPr/>
      </xdr:nvGrpSpPr>
      <xdr:grpSpPr>
        <a:xfrm>
          <a:off x="555326" y="11276195"/>
          <a:ext cx="2808022" cy="355548"/>
          <a:chOff x="552970" y="11990570"/>
          <a:chExt cx="2769922" cy="377773"/>
        </a:xfrm>
      </xdr:grpSpPr>
      <xdr:sp macro="" textlink="">
        <xdr:nvSpPr>
          <xdr:cNvPr id="149" name="Step" descr="All about the AVERAGE function, Hyperlinked to web&#10;&#10;">
            <a:hlinkClick xmlns:r="http://schemas.openxmlformats.org/officeDocument/2006/relationships" r:id="rId6" tooltip="Select to learn all about using Excel as a calculator from the web"/>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a calculator</a:t>
            </a:r>
          </a:p>
        </xdr:txBody>
      </xdr:sp>
      <xdr:pic>
        <xdr:nvPicPr>
          <xdr:cNvPr id="150" name="Graphic 22" descr="Select to learn more from the web">
            <a:hlinkClick xmlns:r="http://schemas.openxmlformats.org/officeDocument/2006/relationships" r:id="rId6" tooltip="Select to learn more from the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oup 150" descr="Overview of formulas in Excel">
          <a:extLst>
            <a:ext uri="{FF2B5EF4-FFF2-40B4-BE49-F238E27FC236}">
              <a16:creationId xmlns:a16="http://schemas.microsoft.com/office/drawing/2014/main" id="{DBBBF993-8DF8-4B72-8129-E3AA07A81756}"/>
            </a:ext>
          </a:extLst>
        </xdr:cNvPr>
        <xdr:cNvGrpSpPr/>
      </xdr:nvGrpSpPr>
      <xdr:grpSpPr>
        <a:xfrm>
          <a:off x="555326" y="11646350"/>
          <a:ext cx="2832459" cy="364310"/>
          <a:chOff x="552970" y="12376600"/>
          <a:chExt cx="2797534" cy="383360"/>
        </a:xfrm>
      </xdr:grpSpPr>
      <xdr:sp macro="" textlink="">
        <xdr:nvSpPr>
          <xdr:cNvPr id="152" name="Step" descr="All about the COUNT function, hyperlinked to web&#10;">
            <a:hlinkClick xmlns:r="http://schemas.openxmlformats.org/officeDocument/2006/relationships" r:id="rId9" tooltip="Select to learn all about Excel formulas from the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formulas in Excel</a:t>
            </a:r>
          </a:p>
        </xdr:txBody>
      </xdr:sp>
      <xdr:pic>
        <xdr:nvPicPr>
          <xdr:cNvPr id="153" name="Graphic 22" descr="Select to learn more from the web">
            <a:hlinkClick xmlns:r="http://schemas.openxmlformats.org/officeDocument/2006/relationships" r:id="rId9" tooltip="Select to learn more from the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2412180</xdr:colOff>
      <xdr:row>62</xdr:row>
      <xdr:rowOff>95396</xdr:rowOff>
    </xdr:to>
    <xdr:grpSp>
      <xdr:nvGrpSpPr>
        <xdr:cNvPr id="154" name="Group 153">
          <a:extLst>
            <a:ext uri="{FF2B5EF4-FFF2-40B4-BE49-F238E27FC236}">
              <a16:creationId xmlns:a16="http://schemas.microsoft.com/office/drawing/2014/main" id="{97003A87-44BF-4E57-A760-19DF355C2169}"/>
            </a:ext>
          </a:extLst>
        </xdr:cNvPr>
        <xdr:cNvGrpSpPr/>
      </xdr:nvGrpSpPr>
      <xdr:grpSpPr>
        <a:xfrm>
          <a:off x="555326" y="12027098"/>
          <a:ext cx="2739504" cy="355548"/>
          <a:chOff x="552970" y="12776398"/>
          <a:chExt cx="2704579" cy="377773"/>
        </a:xfrm>
      </xdr:grpSpPr>
      <xdr:sp macro="" textlink="">
        <xdr:nvSpPr>
          <xdr:cNvPr id="155" name="Step" descr="Use Excel as your calculator, hyperlinked to web&#10;">
            <a:hlinkClick xmlns:r="http://schemas.openxmlformats.org/officeDocument/2006/relationships" r:id="rId10" tooltip="Select to learn about Excel functions by category from the web"/>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 category) </a:t>
            </a:r>
          </a:p>
        </xdr:txBody>
      </xdr:sp>
      <xdr:pic>
        <xdr:nvPicPr>
          <xdr:cNvPr id="156" name="Graphic 155" descr="Select to learn more from the web">
            <a:hlinkClick xmlns:r="http://schemas.openxmlformats.org/officeDocument/2006/relationships" r:id="rId10" tooltip="Select to learn more from the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2669355</xdr:colOff>
      <xdr:row>64</xdr:row>
      <xdr:rowOff>112842</xdr:rowOff>
    </xdr:to>
    <xdr:grpSp>
      <xdr:nvGrpSpPr>
        <xdr:cNvPr id="157" name="Group 156">
          <a:extLst>
            <a:ext uri="{FF2B5EF4-FFF2-40B4-BE49-F238E27FC236}">
              <a16:creationId xmlns:a16="http://schemas.microsoft.com/office/drawing/2014/main" id="{71257630-43F1-4787-B9D3-FAD6BF048228}"/>
            </a:ext>
          </a:extLst>
        </xdr:cNvPr>
        <xdr:cNvGrpSpPr/>
      </xdr:nvGrpSpPr>
      <xdr:grpSpPr>
        <a:xfrm>
          <a:off x="564334" y="12394557"/>
          <a:ext cx="2990846" cy="367485"/>
          <a:chOff x="565153" y="13169257"/>
          <a:chExt cx="2949571" cy="383360"/>
        </a:xfrm>
      </xdr:grpSpPr>
      <xdr:sp macro="" textlink="">
        <xdr:nvSpPr>
          <xdr:cNvPr id="158" name="Step" descr="Free Excel training online, hyperlinked to web&#10;">
            <a:hlinkClick xmlns:r="http://schemas.openxmlformats.org/officeDocument/2006/relationships" r:id="rId11" tooltip="Select to learn all about Excel functions (alphabetical) from the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 </a:t>
            </a:r>
          </a:p>
        </xdr:txBody>
      </xdr:sp>
      <xdr:pic>
        <xdr:nvPicPr>
          <xdr:cNvPr id="159" name="Graphic 22" descr="Select to learn more from the web">
            <a:hlinkClick xmlns:r="http://schemas.openxmlformats.org/officeDocument/2006/relationships" r:id="rId11" tooltip="Select to learn more from the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2148892</xdr:colOff>
      <xdr:row>66</xdr:row>
      <xdr:rowOff>112842</xdr:rowOff>
    </xdr:to>
    <xdr:grpSp>
      <xdr:nvGrpSpPr>
        <xdr:cNvPr id="160" name="Group 159">
          <a:extLst>
            <a:ext uri="{FF2B5EF4-FFF2-40B4-BE49-F238E27FC236}">
              <a16:creationId xmlns:a16="http://schemas.microsoft.com/office/drawing/2014/main" id="{32835AA2-E6D6-41DC-B4E4-AF07FAC19150}"/>
            </a:ext>
          </a:extLst>
        </xdr:cNvPr>
        <xdr:cNvGrpSpPr/>
      </xdr:nvGrpSpPr>
      <xdr:grpSpPr>
        <a:xfrm>
          <a:off x="580209" y="12756507"/>
          <a:ext cx="2451333" cy="367485"/>
          <a:chOff x="574678" y="13550257"/>
          <a:chExt cx="2419583" cy="383360"/>
        </a:xfrm>
      </xdr:grpSpPr>
      <xdr:sp macro="" textlink="">
        <xdr:nvSpPr>
          <xdr:cNvPr id="161" name="Step" descr="Free Excel training online, hyperlinked to web&#10;">
            <a:hlinkClick xmlns:r="http://schemas.openxmlformats.org/officeDocument/2006/relationships" r:id="rId12" tooltip="Select to learn Free Excel training online from the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2" name="Graphic 22" descr="Select to learn more from the web">
            <a:hlinkClick xmlns:r="http://schemas.openxmlformats.org/officeDocument/2006/relationships" r:id="rId12" tooltip="Select to learn more from the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5491163</xdr:colOff>
      <xdr:row>3</xdr:row>
      <xdr:rowOff>168733</xdr:rowOff>
    </xdr:from>
    <xdr:to>
      <xdr:col>4</xdr:col>
      <xdr:colOff>1135102</xdr:colOff>
      <xdr:row>12</xdr:row>
      <xdr:rowOff>38101</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380163" y="1321258"/>
          <a:ext cx="2686089" cy="1555293"/>
          <a:chOff x="6284692" y="1189724"/>
          <a:chExt cx="2351528" cy="1603076"/>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Instruction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4"/>
            <a:ext cx="1969112" cy="89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r>
              <a:rPr lang="en-US" sz="1200" kern="1200">
                <a:solidFill>
                  <a:schemeClr val="dk1"/>
                </a:solidFill>
                <a:effectLst/>
                <a:latin typeface="+mn-lt"/>
                <a:ea typeface="+mn-ea"/>
                <a:cs typeface="+mn-cs"/>
              </a:rPr>
              <a:t>Change</a:t>
            </a:r>
            <a:r>
              <a:rPr lang="en-US" sz="1200" kern="1200" baseline="0">
                <a:solidFill>
                  <a:schemeClr val="dk1"/>
                </a:solidFill>
                <a:effectLst/>
                <a:latin typeface="+mn-lt"/>
                <a:ea typeface="+mn-ea"/>
                <a:cs typeface="+mn-cs"/>
              </a:rPr>
              <a:t> the numbers here, and watch the formula results automatically change.</a:t>
            </a:r>
            <a:endParaRPr lang="en-US" sz="900">
              <a:effectLst/>
            </a:endParaRPr>
          </a:p>
        </xdr:txBody>
      </xdr:sp>
    </xdr:grpSp>
    <xdr:clientData/>
  </xdr:twoCellAnchor>
  <xdr:twoCellAnchor editAs="absolute">
    <xdr:from>
      <xdr:col>6</xdr:col>
      <xdr:colOff>433106</xdr:colOff>
      <xdr:row>25</xdr:row>
      <xdr:rowOff>129774</xdr:rowOff>
    </xdr:from>
    <xdr:to>
      <xdr:col>12</xdr:col>
      <xdr:colOff>259530</xdr:colOff>
      <xdr:row>35</xdr:row>
      <xdr:rowOff>6301</xdr:rowOff>
    </xdr:to>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0716931" y="5565374"/>
          <a:ext cx="3950749" cy="1845027"/>
          <a:chOff x="7053810" y="15226304"/>
          <a:chExt cx="3722724" cy="1662195"/>
        </a:xfrm>
      </xdr:grpSpPr>
      <xdr:sp macro="" textlink="">
        <xdr:nvSpPr>
          <xdr:cNvPr id="212" name="Step"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For example: Select the yellow cell with </a:t>
            </a:r>
            <a:r>
              <a:rPr lang="en-US" sz="1100" b="1" i="0" kern="1200" baseline="0">
                <a:solidFill>
                  <a:schemeClr val="dk1"/>
                </a:solidFill>
                <a:effectLst/>
                <a:latin typeface="+mn-lt"/>
                <a:ea typeface="+mn-ea"/>
                <a:cs typeface="+mn-cs"/>
              </a:rPr>
              <a:t>12 </a:t>
            </a:r>
            <a:r>
              <a:rPr lang="en-US" sz="1100" b="0" i="0" kern="1200" baseline="0">
                <a:solidFill>
                  <a:schemeClr val="dk1"/>
                </a:solidFill>
                <a:effectLst/>
                <a:latin typeface="+mn-lt"/>
                <a:ea typeface="+mn-ea"/>
                <a:cs typeface="+mn-cs"/>
              </a:rPr>
              <a:t>below. You'll see we used the </a:t>
            </a:r>
            <a:r>
              <a:rPr lang="en-US" sz="1100" b="1" i="0" kern="1200" baseline="0">
                <a:solidFill>
                  <a:schemeClr val="dk1"/>
                </a:solidFill>
                <a:effectLst/>
                <a:latin typeface="+mn-lt"/>
                <a:ea typeface="+mn-ea"/>
                <a:cs typeface="+mn-cs"/>
              </a:rPr>
              <a:t>SUM </a:t>
            </a:r>
            <a:r>
              <a:rPr lang="en-US" sz="1100" b="0" i="0" kern="1200" baseline="0">
                <a:solidFill>
                  <a:schemeClr val="dk1"/>
                </a:solidFill>
                <a:effectLst/>
                <a:latin typeface="+mn-lt"/>
                <a:ea typeface="+mn-ea"/>
                <a:cs typeface="+mn-cs"/>
              </a:rPr>
              <a:t>function with a range of cells. We didn't type in "4" or "8" directly into the formula.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absolute">
    <xdr:from>
      <xdr:col>1</xdr:col>
      <xdr:colOff>5393388</xdr:colOff>
      <xdr:row>27</xdr:row>
      <xdr:rowOff>229899</xdr:rowOff>
    </xdr:from>
    <xdr:to>
      <xdr:col>4</xdr:col>
      <xdr:colOff>152399</xdr:colOff>
      <xdr:row>30</xdr:row>
      <xdr:rowOff>17807</xdr:rowOff>
    </xdr:to>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6262068" y="6059199"/>
          <a:ext cx="16779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2</xdr:col>
      <xdr:colOff>573900</xdr:colOff>
      <xdr:row>27</xdr:row>
      <xdr:rowOff>247328</xdr:rowOff>
    </xdr:from>
    <xdr:to>
      <xdr:col>2</xdr:col>
      <xdr:colOff>793084</xdr:colOff>
      <xdr:row>28</xdr:row>
      <xdr:rowOff>34707</xdr:rowOff>
    </xdr:to>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7179172" y="6024556"/>
          <a:ext cx="115039" cy="219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35942</xdr:colOff>
      <xdr:row>26</xdr:row>
      <xdr:rowOff>162717</xdr:rowOff>
    </xdr:from>
    <xdr:to>
      <xdr:col>2</xdr:col>
      <xdr:colOff>839891</xdr:colOff>
      <xdr:row>27</xdr:row>
      <xdr:rowOff>226414</xdr:rowOff>
    </xdr:to>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6865367" y="5730080"/>
          <a:ext cx="803949"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2</xdr:col>
      <xdr:colOff>52597</xdr:colOff>
      <xdr:row>30</xdr:row>
      <xdr:rowOff>6379</xdr:rowOff>
    </xdr:from>
    <xdr:to>
      <xdr:col>2</xdr:col>
      <xdr:colOff>356547</xdr:colOff>
      <xdr:row>30</xdr:row>
      <xdr:rowOff>122370</xdr:rowOff>
    </xdr:to>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6699776" y="6435120"/>
          <a:ext cx="115991" cy="30395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1</xdr:col>
      <xdr:colOff>5425441</xdr:colOff>
      <xdr:row>30</xdr:row>
      <xdr:rowOff>138490</xdr:rowOff>
    </xdr:from>
    <xdr:to>
      <xdr:col>2</xdr:col>
      <xdr:colOff>502921</xdr:colOff>
      <xdr:row>32</xdr:row>
      <xdr:rowOff>160997</xdr:rowOff>
    </xdr:to>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6294121" y="6661210"/>
          <a:ext cx="762000"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2</xdr:col>
      <xdr:colOff>828416</xdr:colOff>
      <xdr:row>30</xdr:row>
      <xdr:rowOff>6379</xdr:rowOff>
    </xdr:from>
    <xdr:to>
      <xdr:col>4</xdr:col>
      <xdr:colOff>128233</xdr:colOff>
      <xdr:row>30</xdr:row>
      <xdr:rowOff>122370</xdr:rowOff>
    </xdr:to>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7590749" y="6319966"/>
          <a:ext cx="115991" cy="53425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525654</xdr:colOff>
      <xdr:row>30</xdr:row>
      <xdr:rowOff>138490</xdr:rowOff>
    </xdr:from>
    <xdr:to>
      <xdr:col>4</xdr:col>
      <xdr:colOff>144780</xdr:colOff>
      <xdr:row>32</xdr:row>
      <xdr:rowOff>160997</xdr:rowOff>
    </xdr:to>
    <xdr:sp macro="" textlink="">
      <xdr:nvSpPr>
        <xdr:cNvPr id="204" name="txt_FormulaCalloutUpper" descr="Cell reference&#10;&#10;">
          <a:extLst>
            <a:ext uri="{FF2B5EF4-FFF2-40B4-BE49-F238E27FC236}">
              <a16:creationId xmlns:a16="http://schemas.microsoft.com/office/drawing/2014/main" id="{C8D9CEE7-9568-485B-8FE0-FB660EF1AC52}"/>
            </a:ext>
          </a:extLst>
        </xdr:cNvPr>
        <xdr:cNvSpPr txBox="1">
          <a:spLocks noChangeArrowheads="1"/>
        </xdr:cNvSpPr>
      </xdr:nvSpPr>
      <xdr:spPr bwMode="auto">
        <a:xfrm>
          <a:off x="7078854" y="6661210"/>
          <a:ext cx="853566" cy="38826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4</xdr:col>
      <xdr:colOff>477268</xdr:colOff>
      <xdr:row>27</xdr:row>
      <xdr:rowOff>229899</xdr:rowOff>
    </xdr:from>
    <xdr:to>
      <xdr:col>6</xdr:col>
      <xdr:colOff>106679</xdr:colOff>
      <xdr:row>30</xdr:row>
      <xdr:rowOff>17807</xdr:rowOff>
    </xdr:to>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8264908" y="6059199"/>
          <a:ext cx="193827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5</xdr:col>
      <xdr:colOff>40648</xdr:colOff>
      <xdr:row>27</xdr:row>
      <xdr:rowOff>247329</xdr:rowOff>
    </xdr:from>
    <xdr:to>
      <xdr:col>5</xdr:col>
      <xdr:colOff>263926</xdr:colOff>
      <xdr:row>28</xdr:row>
      <xdr:rowOff>34708</xdr:rowOff>
    </xdr:to>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9495466" y="5942024"/>
          <a:ext cx="115991" cy="2232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1046006</xdr:colOff>
      <xdr:row>26</xdr:row>
      <xdr:rowOff>162717</xdr:rowOff>
    </xdr:from>
    <xdr:to>
      <xdr:col>5</xdr:col>
      <xdr:colOff>569811</xdr:colOff>
      <xdr:row>27</xdr:row>
      <xdr:rowOff>226414</xdr:rowOff>
    </xdr:to>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9161306" y="5730080"/>
          <a:ext cx="809680"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4</xdr:col>
      <xdr:colOff>756919</xdr:colOff>
      <xdr:row>30</xdr:row>
      <xdr:rowOff>6379</xdr:rowOff>
    </xdr:from>
    <xdr:to>
      <xdr:col>5</xdr:col>
      <xdr:colOff>11899</xdr:colOff>
      <xdr:row>30</xdr:row>
      <xdr:rowOff>122370</xdr:rowOff>
    </xdr:to>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9084651" y="6232847"/>
          <a:ext cx="115991" cy="54085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644604</xdr:colOff>
      <xdr:row>30</xdr:row>
      <xdr:rowOff>138490</xdr:rowOff>
    </xdr:from>
    <xdr:to>
      <xdr:col>5</xdr:col>
      <xdr:colOff>116474</xdr:colOff>
      <xdr:row>32</xdr:row>
      <xdr:rowOff>160997</xdr:rowOff>
    </xdr:to>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8759904" y="6577390"/>
          <a:ext cx="757745"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5</xdr:col>
      <xdr:colOff>273544</xdr:colOff>
      <xdr:row>30</xdr:row>
      <xdr:rowOff>6378</xdr:rowOff>
    </xdr:from>
    <xdr:to>
      <xdr:col>5</xdr:col>
      <xdr:colOff>815420</xdr:colOff>
      <xdr:row>30</xdr:row>
      <xdr:rowOff>122369</xdr:rowOff>
    </xdr:to>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9887661" y="6232336"/>
          <a:ext cx="115991" cy="5418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5</xdr:col>
      <xdr:colOff>161280</xdr:colOff>
      <xdr:row>30</xdr:row>
      <xdr:rowOff>138490</xdr:rowOff>
    </xdr:from>
    <xdr:to>
      <xdr:col>5</xdr:col>
      <xdr:colOff>919952</xdr:colOff>
      <xdr:row>32</xdr:row>
      <xdr:rowOff>160997</xdr:rowOff>
    </xdr:to>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9562455" y="6577390"/>
          <a:ext cx="758672"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1</xdr:col>
      <xdr:colOff>5323810</xdr:colOff>
      <xdr:row>35</xdr:row>
      <xdr:rowOff>62066</xdr:rowOff>
    </xdr:from>
    <xdr:to>
      <xdr:col>5</xdr:col>
      <xdr:colOff>1066836</xdr:colOff>
      <xdr:row>43</xdr:row>
      <xdr:rowOff>162464</xdr:rowOff>
    </xdr:to>
    <xdr:grpSp>
      <xdr:nvGrpSpPr>
        <xdr:cNvPr id="172" name="Group 171">
          <a:extLst>
            <a:ext uri="{FF2B5EF4-FFF2-40B4-BE49-F238E27FC236}">
              <a16:creationId xmlns:a16="http://schemas.microsoft.com/office/drawing/2014/main" id="{27FB8F52-9F55-421A-90F9-FEBBC5A87DF7}"/>
            </a:ext>
          </a:extLst>
        </xdr:cNvPr>
        <xdr:cNvGrpSpPr/>
      </xdr:nvGrpSpPr>
      <xdr:grpSpPr>
        <a:xfrm>
          <a:off x="6212810" y="7466166"/>
          <a:ext cx="4045651" cy="1541848"/>
          <a:chOff x="8257510" y="8164390"/>
          <a:chExt cx="3790306" cy="1627310"/>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8830824" y="8112598"/>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531981"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164675" y="828150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164675" y="77671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9722826" y="8164390"/>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 has a starting cell, colon, and </a:t>
            </a:r>
            <a:r>
              <a:rPr lang="en-US"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clientData/>
  </xdr:twoCellAnchor>
  <xdr:twoCellAnchor editAs="absolute">
    <xdr:from>
      <xdr:col>1</xdr:col>
      <xdr:colOff>5323811</xdr:colOff>
      <xdr:row>45</xdr:row>
      <xdr:rowOff>10332</xdr:rowOff>
    </xdr:from>
    <xdr:to>
      <xdr:col>9</xdr:col>
      <xdr:colOff>289492</xdr:colOff>
      <xdr:row>56</xdr:row>
      <xdr:rowOff>57150</xdr:rowOff>
    </xdr:to>
    <xdr:grpSp>
      <xdr:nvGrpSpPr>
        <xdr:cNvPr id="173" name="Group 172">
          <a:extLst>
            <a:ext uri="{FF2B5EF4-FFF2-40B4-BE49-F238E27FC236}">
              <a16:creationId xmlns:a16="http://schemas.microsoft.com/office/drawing/2014/main" id="{00BBB77A-8EDC-44E9-8BC6-1F471670BF40}"/>
            </a:ext>
          </a:extLst>
        </xdr:cNvPr>
        <xdr:cNvGrpSpPr/>
      </xdr:nvGrpSpPr>
      <xdr:grpSpPr>
        <a:xfrm>
          <a:off x="6212811" y="9217832"/>
          <a:ext cx="6576656" cy="2040718"/>
          <a:chOff x="8257511" y="10012240"/>
          <a:chExt cx="6116879" cy="2141660"/>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1" y="10628434"/>
            <a:ext cx="5134523"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164667" y="9948381"/>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9722818"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1879620" y="9948381"/>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443870"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164667" y="104722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9616911" y="11303630"/>
            <a:ext cx="121742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1879620" y="10472256"/>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213856" y="11303630"/>
            <a:ext cx="146563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Another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0633507" y="10012240"/>
            <a:ext cx="2168802"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Commas separate multiple arguments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a:off x="10797464" y="1043698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296327" y="11698165"/>
            <a:ext cx="2729639"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Opening parenthesis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132908" y="1102753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1644751" y="11698165"/>
            <a:ext cx="2729639" cy="45573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Closing parenthesis. Excel will usually add this for you when</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you press </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Enter</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021561" y="11050117"/>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5228463</xdr:colOff>
      <xdr:row>82</xdr:row>
      <xdr:rowOff>19050</xdr:rowOff>
    </xdr:to>
    <xdr:grpSp>
      <xdr:nvGrpSpPr>
        <xdr:cNvPr id="180" name="More On Web" descr="More information on the web, contains links to the web&#10;Back to top&#10;Next step">
          <a:hlinkClick xmlns:r="http://schemas.openxmlformats.org/officeDocument/2006/relationships" r:id="rId1" tooltip="Click here to advance to the next worksheet"/>
          <a:extLst>
            <a:ext uri="{FF2B5EF4-FFF2-40B4-BE49-F238E27FC236}">
              <a16:creationId xmlns:a16="http://schemas.microsoft.com/office/drawing/2014/main" id="{ABD21ECB-A0A3-4E0D-861E-B3FBCE376575}"/>
            </a:ext>
          </a:extLst>
        </xdr:cNvPr>
        <xdr:cNvGrpSpPr/>
      </xdr:nvGrpSpPr>
      <xdr:grpSpPr>
        <a:xfrm>
          <a:off x="342900" y="12712700"/>
          <a:ext cx="5774563" cy="3498850"/>
          <a:chOff x="323850" y="16837043"/>
          <a:chExt cx="5737224" cy="3349188"/>
        </a:xfrm>
      </xdr:grpSpPr>
      <xdr:sp macro="" textlink="">
        <xdr:nvSpPr>
          <xdr:cNvPr id="181" name="Rectangle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More information on the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85" name="Straight Connector 184" descr="Decorative lin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4F102BCA-DDCB-4390-A653-445B336B333A}"/>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87"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88" name="Graphic 22" descr="Arrow">
            <a:hlinkClick xmlns:r="http://schemas.openxmlformats.org/officeDocument/2006/relationships" r:id="rId3" tooltip="Select to learn more from the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phic 22" descr="Arrow">
            <a:hlinkClick xmlns:r="http://schemas.openxmlformats.org/officeDocument/2006/relationships" r:id="rId6" tooltip="Select to learn more from the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92" name="Graphic 22" descr="Arrow">
            <a:hlinkClick xmlns:r="http://schemas.openxmlformats.org/officeDocument/2006/relationships" r:id="rId7" tooltip="Select to learn more from the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94" name="Graphic 22" descr="Arrow">
            <a:hlinkClick xmlns:r="http://schemas.openxmlformats.org/officeDocument/2006/relationships" r:id="rId8" tooltip="Select to learn more from the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753225" y="10296521"/>
          <a:ext cx="3714749" cy="1765298"/>
          <a:chOff x="6788150" y="10960177"/>
          <a:chExt cx="3714749" cy="1708070"/>
        </a:xfrm>
      </xdr:grpSpPr>
      <xdr:sp macro="" textlink="">
        <xdr:nvSpPr>
          <xdr:cNvPr id="196"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4</xdr:col>
      <xdr:colOff>7420</xdr:colOff>
      <xdr:row>33</xdr:row>
      <xdr:rowOff>120650</xdr:rowOff>
    </xdr:from>
    <xdr:to>
      <xdr:col>8</xdr:col>
      <xdr:colOff>523874</xdr:colOff>
      <xdr:row>41</xdr:row>
      <xdr:rowOff>6351</xdr:rowOff>
    </xdr:to>
    <xdr:grpSp>
      <xdr:nvGrpSpPr>
        <xdr:cNvPr id="2" name="Group 1">
          <a:extLst>
            <a:ext uri="{FF2B5EF4-FFF2-40B4-BE49-F238E27FC236}">
              <a16:creationId xmlns:a16="http://schemas.microsoft.com/office/drawing/2014/main" id="{C31E7FA9-873B-48E5-80FF-FEEB66A44E83}"/>
            </a:ext>
          </a:extLst>
        </xdr:cNvPr>
        <xdr:cNvGrpSpPr/>
      </xdr:nvGrpSpPr>
      <xdr:grpSpPr>
        <a:xfrm>
          <a:off x="8554520" y="6981825"/>
          <a:ext cx="3345379" cy="1409701"/>
          <a:chOff x="8151295" y="6978650"/>
          <a:chExt cx="3212029" cy="1409701"/>
        </a:xfrm>
      </xdr:grpSpPr>
      <xdr:pic>
        <xdr:nvPicPr>
          <xdr:cNvPr id="200" name="Status bar graphic" descr="Status bar graphic Sum: 170">
            <a:extLst>
              <a:ext uri="{FF2B5EF4-FFF2-40B4-BE49-F238E27FC236}">
                <a16:creationId xmlns:a16="http://schemas.microsoft.com/office/drawing/2014/main" id="{26CBE60B-8C6B-4B6C-A49E-B12121A259CA}"/>
              </a:ext>
            </a:extLst>
          </xdr:cNvPr>
          <xdr:cNvPicPr>
            <a:picLocks noChangeAspect="1"/>
          </xdr:cNvPicPr>
        </xdr:nvPicPr>
        <xdr:blipFill rotWithShape="1">
          <a:blip xmlns:r="http://schemas.openxmlformats.org/officeDocument/2006/relationships" r:embed="rId11"/>
          <a:srcRect t="5716"/>
          <a:stretch/>
        </xdr:blipFill>
        <xdr:spPr>
          <a:xfrm>
            <a:off x="8877194" y="7642326"/>
            <a:ext cx="1386338" cy="188153"/>
          </a:xfrm>
          <a:prstGeom prst="rect">
            <a:avLst/>
          </a:prstGeom>
        </xdr:spPr>
      </xdr:pic>
      <xdr:grpSp>
        <xdr:nvGrpSpPr>
          <xdr:cNvPr id="201"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409701"/>
            <a:chOff x="7539454" y="7993902"/>
            <a:chExt cx="3051070" cy="1409701"/>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211453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385299" y="3454401"/>
          <a:ext cx="2865754" cy="139064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using any of the methods you've already tried.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counts the number of cells in a range that contain numbers.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2634" y="4787905"/>
          <a:ext cx="5774563"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416016"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U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200" kern="1200" baseline="0">
                <a:solidFill>
                  <a:schemeClr val="dk1"/>
                </a:solidFill>
                <a:effectLst/>
                <a:latin typeface="+mn-lt"/>
                <a:ea typeface="+mn-ea"/>
                <a:cs typeface="+mn-cs"/>
              </a:rPr>
              <a:t>where functions are listed by category, like </a:t>
            </a:r>
            <a:r>
              <a:rPr lang="en-US" sz="1200" b="1" kern="1200" baseline="0">
                <a:solidFill>
                  <a:schemeClr val="dk1"/>
                </a:solidFill>
                <a:effectLst/>
                <a:latin typeface="+mn-lt"/>
                <a:ea typeface="+mn-ea"/>
                <a:cs typeface="+mn-cs"/>
              </a:rPr>
              <a:t>Text</a:t>
            </a:r>
            <a:r>
              <a:rPr lang="en-US" sz="1200" kern="1200" baseline="0">
                <a:solidFill>
                  <a:schemeClr val="dk1"/>
                </a:solidFill>
                <a:effectLst/>
                <a:latin typeface="+mn-lt"/>
                <a:ea typeface="+mn-ea"/>
                <a:cs typeface="+mn-cs"/>
              </a:rPr>
              <a:t>, </a:t>
            </a:r>
            <a:r>
              <a:rPr lang="en-US" sz="1200" b="1" kern="1200" baseline="0">
                <a:solidFill>
                  <a:schemeClr val="dk1"/>
                </a:solidFill>
                <a:effectLst/>
                <a:latin typeface="+mn-lt"/>
                <a:ea typeface="+mn-ea"/>
                <a:cs typeface="+mn-cs"/>
              </a:rPr>
              <a:t>Date &amp; Time</a:t>
            </a:r>
            <a:r>
              <a:rPr lang="en-US" sz="1200" kern="1200" baseline="0">
                <a:solidFill>
                  <a:schemeClr val="dk1"/>
                </a:solidFill>
                <a:effectLst/>
                <a:latin typeface="+mn-lt"/>
                <a:ea typeface="+mn-ea"/>
                <a:cs typeface="+mn-cs"/>
              </a:rPr>
              <a:t>, etc.</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34</xdr:row>
      <xdr:rowOff>152401</xdr:rowOff>
    </xdr:from>
    <xdr:to>
      <xdr:col>1</xdr:col>
      <xdr:colOff>3032611</xdr:colOff>
      <xdr:row>37</xdr:row>
      <xdr:rowOff>171377</xdr:rowOff>
    </xdr:to>
    <xdr:pic>
      <xdr:nvPicPr>
        <xdr:cNvPr id="213" name="Pictur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stretch>
          <a:fillRect/>
        </a:stretch>
      </xdr:blipFill>
      <xdr:spPr>
        <a:xfrm>
          <a:off x="1934330" y="7200901"/>
          <a:ext cx="1946006"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446897" y="8439151"/>
          <a:ext cx="3229391" cy="1845672"/>
          <a:chOff x="4319575" y="4314825"/>
          <a:chExt cx="3211514" cy="184567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48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498428" y="11125201"/>
          <a:ext cx="2971800" cy="1388472"/>
          <a:chOff x="1736553" y="11125201"/>
          <a:chExt cx="2971800" cy="1388472"/>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a:t>
            </a:r>
            <a:r>
              <a:rPr lang="en-US" sz="1100" b="1">
                <a:effectLst/>
                <a:latin typeface="Calibri" panose="020F0502020204030204" pitchFamily="34" charset="0"/>
                <a:ea typeface="Calibri" panose="020F0502020204030204" pitchFamily="34" charset="0"/>
                <a:cs typeface="Times New Roman" panose="02020603050405020304" pitchFamily="18" charset="0"/>
              </a:rPr>
              <a:t>TODAY</a:t>
            </a:r>
            <a:r>
              <a:rPr lang="en-US"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355599"/>
          <a:ext cx="5768975" cy="4365767"/>
          <a:chOff x="323850" y="276224"/>
          <a:chExt cx="5734050" cy="4200525"/>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542925" y="1638300"/>
            <a:ext cx="5429249" cy="577157"/>
            <a:chOff x="609600" y="7810500"/>
            <a:chExt cx="5394025" cy="577157"/>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542925" y="2262188"/>
            <a:ext cx="5220101" cy="596207"/>
            <a:chOff x="609600" y="7896225"/>
            <a:chExt cx="5186234" cy="596207"/>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542925" y="3143250"/>
            <a:ext cx="5234994" cy="601091"/>
            <a:chOff x="561975" y="2952750"/>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242" name="Step" descr="Here's a neat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neat keyboard shortcut. Select cell D15, then press 	   then,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5308730"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4816914"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8AAD723-1A75-444B-BF90-661FB4EE2F13}"/>
            </a:ext>
          </a:extLst>
        </xdr:cNvPr>
        <xdr:cNvSpPr/>
      </xdr:nvSpPr>
      <xdr:spPr>
        <a:xfrm>
          <a:off x="4706646"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22</xdr:row>
      <xdr:rowOff>66674</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372602" y="3435350"/>
          <a:ext cx="2933698" cy="1396999"/>
          <a:chOff x="9048750" y="3743325"/>
          <a:chExt cx="2909468" cy="1390649"/>
        </a:xfrm>
      </xdr:grpSpPr>
      <xdr:sp macro="" textlink="">
        <xdr:nvSpPr>
          <xdr:cNvPr id="51" name="Step"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p>
          <a:p>
            <a:pPr lvl="0">
              <a:defRPr/>
            </a:pPr>
            <a:r>
              <a:rPr lang="en-US" sz="1200"/>
              <a:t>Try using</a:t>
            </a:r>
            <a:r>
              <a:rPr lang="en-US" sz="1200" baseline="0"/>
              <a:t> </a:t>
            </a:r>
            <a:r>
              <a:rPr lang="en-US" sz="1200" b="1"/>
              <a:t>MEDIAN</a:t>
            </a:r>
            <a:r>
              <a:rPr lang="en-US" sz="1200"/>
              <a:t> or </a:t>
            </a:r>
            <a:r>
              <a:rPr lang="en-US" sz="1200" b="1"/>
              <a:t>MODE</a:t>
            </a:r>
            <a:r>
              <a:rPr lang="en-US" sz="1200"/>
              <a:t> here.</a:t>
            </a:r>
            <a:r>
              <a:rPr lang="en-US" sz="1200" baseline="0"/>
              <a:t> </a:t>
            </a:r>
          </a:p>
          <a:p>
            <a:pPr lvl="0">
              <a:defRPr/>
            </a:pPr>
            <a:endParaRPr lang="en-US" sz="1200" baseline="0"/>
          </a:p>
          <a:p>
            <a:pPr lvl="0">
              <a:defRPr/>
            </a:pPr>
            <a:r>
              <a:rPr lang="en-US" sz="1200" b="1" baseline="0"/>
              <a:t>MEDIAN</a:t>
            </a:r>
            <a:r>
              <a:rPr lang="en-US" sz="1200" baseline="0"/>
              <a:t> gives you the value in the middle of the data set, while </a:t>
            </a:r>
          </a:p>
          <a:p>
            <a:pPr lvl="0">
              <a:defRPr/>
            </a:pPr>
            <a:r>
              <a:rPr lang="en-US" sz="1200" b="1" baseline="0"/>
              <a:t>MODE</a:t>
            </a:r>
            <a:r>
              <a:rPr lang="en-US" sz="1200" baseline="0"/>
              <a:t> gives the one that occurs the most frequently.</a:t>
            </a:r>
            <a:endParaRPr lang="en-US" sz="120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oup 2">
          <a:extLst>
            <a:ext uri="{FF2B5EF4-FFF2-40B4-BE49-F238E27FC236}">
              <a16:creationId xmlns:a16="http://schemas.microsoft.com/office/drawing/2014/main" id="{34477964-9438-41C6-89D0-AF7334519BC2}"/>
            </a:ext>
          </a:extLst>
        </xdr:cNvPr>
        <xdr:cNvGrpSpPr/>
      </xdr:nvGrpSpPr>
      <xdr:grpSpPr>
        <a:xfrm>
          <a:off x="323850" y="3778251"/>
          <a:ext cx="5730875" cy="2381249"/>
          <a:chOff x="323850" y="3781426"/>
          <a:chExt cx="5695950" cy="2400299"/>
        </a:xfrm>
      </xdr:grpSpPr>
      <xdr:sp macro="" textlink="">
        <xdr:nvSpPr>
          <xdr:cNvPr id="62" name="Rectangle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63" name="Step" descr="More information on the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Straight Connector 63" descr="Decorative line">
            <a:extLst>
              <a:ext uri="{FF2B5EF4-FFF2-40B4-BE49-F238E27FC236}">
                <a16:creationId xmlns:a16="http://schemas.microsoft.com/office/drawing/2014/main" id="{78F5D1BC-989A-47DA-B5D1-2BEA7D8D2D8A}"/>
              </a:ext>
            </a:extLst>
          </xdr:cNvPr>
          <xdr:cNvCxnSpPr>
            <a:cxnSpLocks/>
          </xdr:cNvCxnSpPr>
        </xdr:nvCxnSpPr>
        <xdr:spPr>
          <a:xfrm>
            <a:off x="557084" y="42699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descr="Decorative lin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2552700</xdr:colOff>
      <xdr:row>21</xdr:row>
      <xdr:rowOff>118498</xdr:rowOff>
    </xdr:to>
    <xdr:grpSp>
      <xdr:nvGrpSpPr>
        <xdr:cNvPr id="4" name="Group 3">
          <a:extLst>
            <a:ext uri="{FF2B5EF4-FFF2-40B4-BE49-F238E27FC236}">
              <a16:creationId xmlns:a16="http://schemas.microsoft.com/office/drawing/2014/main" id="{2A2F1EF0-54C4-4E96-96D9-0F415372CF05}"/>
            </a:ext>
          </a:extLst>
        </xdr:cNvPr>
        <xdr:cNvGrpSpPr/>
      </xdr:nvGrpSpPr>
      <xdr:grpSpPr>
        <a:xfrm>
          <a:off x="533831" y="4334594"/>
          <a:ext cx="2904694" cy="359079"/>
          <a:chOff x="533831" y="4331419"/>
          <a:chExt cx="2866594" cy="359079"/>
        </a:xfrm>
      </xdr:grpSpPr>
      <xdr:sp macro="" textlink="">
        <xdr:nvSpPr>
          <xdr:cNvPr id="66" name="Step" descr="All about the AVERAGE function, Hyperlinked to web&#10;&#10;">
            <a:hlinkClick xmlns:r="http://schemas.openxmlformats.org/officeDocument/2006/relationships" r:id="rId5" tooltip="Select to learn all about the AVERAGE function from the web"/>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7" name="Graphic 22" descr="Arrow">
            <a:hlinkClick xmlns:r="http://schemas.openxmlformats.org/officeDocument/2006/relationships" r:id="rId5" tooltip="Select to learn more from the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2581275</xdr:colOff>
      <xdr:row>23</xdr:row>
      <xdr:rowOff>117249</xdr:rowOff>
    </xdr:to>
    <xdr:grpSp>
      <xdr:nvGrpSpPr>
        <xdr:cNvPr id="5" name="Group 4">
          <a:extLst>
            <a:ext uri="{FF2B5EF4-FFF2-40B4-BE49-F238E27FC236}">
              <a16:creationId xmlns:a16="http://schemas.microsoft.com/office/drawing/2014/main" id="{8070DC97-C65B-4D56-B70E-5A742EA38D3C}"/>
            </a:ext>
          </a:extLst>
        </xdr:cNvPr>
        <xdr:cNvGrpSpPr/>
      </xdr:nvGrpSpPr>
      <xdr:grpSpPr>
        <a:xfrm>
          <a:off x="533831" y="4705860"/>
          <a:ext cx="2930094" cy="364389"/>
          <a:chOff x="533831" y="4705860"/>
          <a:chExt cx="2895169" cy="364389"/>
        </a:xfrm>
      </xdr:grpSpPr>
      <xdr:sp macro="" textlink="">
        <xdr:nvSpPr>
          <xdr:cNvPr id="68" name="Step" descr="All about the COUNT function, hyperlinked to web&#10;">
            <a:hlinkClick xmlns:r="http://schemas.openxmlformats.org/officeDocument/2006/relationships" r:id="rId8" tooltip="Select to learn all about the MEDIAN function on the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8" tooltip="Select to learn more from the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2155460</xdr:colOff>
      <xdr:row>25</xdr:row>
      <xdr:rowOff>125602</xdr:rowOff>
    </xdr:to>
    <xdr:grpSp>
      <xdr:nvGrpSpPr>
        <xdr:cNvPr id="6" name="Group 5">
          <a:extLst>
            <a:ext uri="{FF2B5EF4-FFF2-40B4-BE49-F238E27FC236}">
              <a16:creationId xmlns:a16="http://schemas.microsoft.com/office/drawing/2014/main" id="{3CA2605E-542A-4852-9719-D7B97D165AA8}"/>
            </a:ext>
          </a:extLst>
        </xdr:cNvPr>
        <xdr:cNvGrpSpPr/>
      </xdr:nvGrpSpPr>
      <xdr:grpSpPr>
        <a:xfrm>
          <a:off x="533831" y="5097348"/>
          <a:ext cx="2507454" cy="359079"/>
          <a:chOff x="533831" y="5100523"/>
          <a:chExt cx="2469354" cy="359079"/>
        </a:xfrm>
      </xdr:grpSpPr>
      <xdr:sp macro="" textlink="">
        <xdr:nvSpPr>
          <xdr:cNvPr id="70" name="Step" descr="Use Excel as your calculator, hyperlinked to web&#10;">
            <a:hlinkClick xmlns:r="http://schemas.openxmlformats.org/officeDocument/2006/relationships" r:id="rId9" tooltip="Select to learn all about the MODE function on the web"/>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71" name="Graphic 70" descr="Arrow">
            <a:hlinkClick xmlns:r="http://schemas.openxmlformats.org/officeDocument/2006/relationships" r:id="rId9" tooltip="Select to learn more from the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2202742</xdr:colOff>
      <xdr:row>27</xdr:row>
      <xdr:rowOff>139267</xdr:rowOff>
    </xdr:to>
    <xdr:grpSp>
      <xdr:nvGrpSpPr>
        <xdr:cNvPr id="7" name="Group 6">
          <a:extLst>
            <a:ext uri="{FF2B5EF4-FFF2-40B4-BE49-F238E27FC236}">
              <a16:creationId xmlns:a16="http://schemas.microsoft.com/office/drawing/2014/main" id="{73707755-F600-4512-81C1-EB2BE159BA8A}"/>
            </a:ext>
          </a:extLst>
        </xdr:cNvPr>
        <xdr:cNvGrpSpPr/>
      </xdr:nvGrpSpPr>
      <xdr:grpSpPr>
        <a:xfrm>
          <a:off x="543265" y="5493053"/>
          <a:ext cx="2542127" cy="354864"/>
          <a:chOff x="546440" y="5489878"/>
          <a:chExt cx="2504027" cy="364389"/>
        </a:xfrm>
      </xdr:grpSpPr>
      <xdr:sp macro="" textlink="">
        <xdr:nvSpPr>
          <xdr:cNvPr id="72" name="Step" descr="Free Excel training online, hyperlinked to web&#10;">
            <a:hlinkClick xmlns:r="http://schemas.openxmlformats.org/officeDocument/2006/relationships" r:id="rId10" tooltip="Select to learn about free Excel training on the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73" name="Graphic 22" descr="Arrow">
            <a:hlinkClick xmlns:r="http://schemas.openxmlformats.org/officeDocument/2006/relationships" r:id="rId10" tooltip="Select to learn more from the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0200" y="349250"/>
          <a:ext cx="5718175"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AVERAGE function</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AVERAGE</a:t>
            </a:r>
            <a:r>
              <a:rPr lang="en-US" sz="1100" kern="1200">
                <a:solidFill>
                  <a:schemeClr val="dk1"/>
                </a:solidFill>
                <a:latin typeface="Segoe UI" panose="020B0502040204020203" pitchFamily="34" charset="0"/>
                <a:ea typeface="+mn-ea"/>
                <a:cs typeface="Segoe UI" panose="020B0502040204020203" pitchFamily="34" charset="0"/>
              </a:rPr>
              <a:t> function to get the average of numbers in a range of cells.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add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to enter another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CHECK THIS OUT" descr="CHECK THIS OUT&#10;&#10;">
          <a:extLst>
            <a:ext uri="{FF2B5EF4-FFF2-40B4-BE49-F238E27FC236}">
              <a16:creationId xmlns:a16="http://schemas.microsoft.com/office/drawing/2014/main" id="{4F2C83E2-CCF8-46E7-9C89-FEAB092ACF14}"/>
            </a:ext>
          </a:extLst>
        </xdr:cNvPr>
        <xdr:cNvGrpSpPr/>
      </xdr:nvGrpSpPr>
      <xdr:grpSpPr>
        <a:xfrm>
          <a:off x="10598150" y="857250"/>
          <a:ext cx="2679691"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tion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any range of numbers</a:t>
            </a:r>
            <a:r>
              <a:rPr lang="en-US" sz="1100" kern="0" baseline="0">
                <a:solidFill>
                  <a:schemeClr val="bg2">
                    <a:lumMod val="25000"/>
                  </a:schemeClr>
                </a:solidFill>
                <a:latin typeface="+mn-lt"/>
                <a:ea typeface="Segoe UI" pitchFamily="34" charset="0"/>
                <a:cs typeface="Segoe UI Light" panose="020B0502040204020203" pitchFamily="34" charset="0"/>
              </a:rPr>
              <a:t>, then look in the Status Bar for an instant Average.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71505" y="1439869"/>
          <a:ext cx="5259137" cy="596197"/>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58805" y="1962164"/>
          <a:ext cx="5259143" cy="55493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58800" y="2476499"/>
          <a:ext cx="5306767" cy="599382"/>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5210175</xdr:colOff>
      <xdr:row>28</xdr:row>
      <xdr:rowOff>1</xdr:rowOff>
    </xdr:to>
    <xdr:grpSp>
      <xdr:nvGrpSpPr>
        <xdr:cNvPr id="3" name="Group 2">
          <a:extLst>
            <a:ext uri="{FF2B5EF4-FFF2-40B4-BE49-F238E27FC236}">
              <a16:creationId xmlns:a16="http://schemas.microsoft.com/office/drawing/2014/main" id="{93BD323D-B807-4DC9-82D1-2419D0592459}"/>
            </a:ext>
          </a:extLst>
        </xdr:cNvPr>
        <xdr:cNvGrpSpPr/>
      </xdr:nvGrpSpPr>
      <xdr:grpSpPr>
        <a:xfrm>
          <a:off x="361950" y="3829051"/>
          <a:ext cx="5730875" cy="2066925"/>
          <a:chOff x="361950" y="4257676"/>
          <a:chExt cx="5695950" cy="2076450"/>
        </a:xfrm>
      </xdr:grpSpPr>
      <xdr:sp macro="" textlink="">
        <xdr:nvSpPr>
          <xdr:cNvPr id="27" name="Rectangle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8" name="Step" descr="More information on the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Straight Connector 28" descr="Decorative line">
            <a:extLst>
              <a:ext uri="{FF2B5EF4-FFF2-40B4-BE49-F238E27FC236}">
                <a16:creationId xmlns:a16="http://schemas.microsoft.com/office/drawing/2014/main" id="{B3104255-0CEA-4FDA-A658-47296C06C36F}"/>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descr="Decorative lin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6" name="Group 5">
          <a:extLst>
            <a:ext uri="{FF2B5EF4-FFF2-40B4-BE49-F238E27FC236}">
              <a16:creationId xmlns:a16="http://schemas.microsoft.com/office/drawing/2014/main" id="{FFCA9288-014C-4486-980E-27B20766EED2}"/>
            </a:ext>
          </a:extLst>
        </xdr:cNvPr>
        <xdr:cNvGrpSpPr/>
      </xdr:nvGrpSpPr>
      <xdr:grpSpPr>
        <a:xfrm>
          <a:off x="571931" y="4398094"/>
          <a:ext cx="2904694" cy="355904"/>
          <a:chOff x="571931" y="4826719"/>
          <a:chExt cx="2866594" cy="359079"/>
        </a:xfrm>
      </xdr:grpSpPr>
      <xdr:sp macro="" textlink="">
        <xdr:nvSpPr>
          <xdr:cNvPr id="31"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32" name="Graphic 22" descr="Arrow">
            <a:hlinkClick xmlns:r="http://schemas.openxmlformats.org/officeDocument/2006/relationships" r:id="rId1" tooltip="Select to learn more from the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5" name="Group 4">
          <a:extLst>
            <a:ext uri="{FF2B5EF4-FFF2-40B4-BE49-F238E27FC236}">
              <a16:creationId xmlns:a16="http://schemas.microsoft.com/office/drawing/2014/main" id="{432B9DC1-07CB-4CB5-9408-142776FE3CE6}"/>
            </a:ext>
          </a:extLst>
        </xdr:cNvPr>
        <xdr:cNvGrpSpPr/>
      </xdr:nvGrpSpPr>
      <xdr:grpSpPr>
        <a:xfrm>
          <a:off x="571931" y="4765021"/>
          <a:ext cx="2930094" cy="367564"/>
          <a:chOff x="571931" y="5193646"/>
          <a:chExt cx="2895169" cy="364389"/>
        </a:xfrm>
      </xdr:grpSpPr>
      <xdr:sp macro="" textlink="">
        <xdr:nvSpPr>
          <xdr:cNvPr id="33"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34" name="Graphic 22" descr="Arrow">
            <a:hlinkClick xmlns:r="http://schemas.openxmlformats.org/officeDocument/2006/relationships" r:id="rId4" tooltip="Select to learn more from the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4" name="Group 3">
          <a:extLst>
            <a:ext uri="{FF2B5EF4-FFF2-40B4-BE49-F238E27FC236}">
              <a16:creationId xmlns:a16="http://schemas.microsoft.com/office/drawing/2014/main" id="{742226DB-497C-49F5-B244-A06F92B322A2}"/>
            </a:ext>
          </a:extLst>
        </xdr:cNvPr>
        <xdr:cNvGrpSpPr/>
      </xdr:nvGrpSpPr>
      <xdr:grpSpPr>
        <a:xfrm>
          <a:off x="581365" y="5188253"/>
          <a:ext cx="2542127" cy="354864"/>
          <a:chOff x="584540" y="5613703"/>
          <a:chExt cx="2504027" cy="364389"/>
        </a:xfrm>
      </xdr:grpSpPr>
      <xdr:sp macro="" textlink="">
        <xdr:nvSpPr>
          <xdr:cNvPr id="37"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38" name="Graphic 22" descr="Arrow">
            <a:hlinkClick xmlns:r="http://schemas.openxmlformats.org/officeDocument/2006/relationships" r:id="rId5" tooltip="Select to learn more from the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283845</xdr:colOff>
      <xdr:row>25</xdr:row>
      <xdr:rowOff>101790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7439025" y="3581400"/>
          <a:ext cx="3417570" cy="1857565"/>
          <a:chOff x="6778625" y="15514765"/>
          <a:chExt cx="3312054"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either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eform: Shape 41" descr="Ar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97790</xdr:colOff>
      <xdr:row>11</xdr:row>
      <xdr:rowOff>137808</xdr:rowOff>
    </xdr:from>
    <xdr:to>
      <xdr:col>5</xdr:col>
      <xdr:colOff>554355</xdr:colOff>
      <xdr:row>19</xdr:row>
      <xdr:rowOff>76199</xdr:rowOff>
    </xdr:to>
    <xdr:grpSp>
      <xdr:nvGrpSpPr>
        <xdr:cNvPr id="110"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774815" y="3055633"/>
          <a:ext cx="3733165" cy="1392541"/>
          <a:chOff x="6778625" y="15449519"/>
          <a:chExt cx="3432175" cy="1428432"/>
        </a:xfrm>
      </xdr:grpSpPr>
      <xdr:sp macro="" textlink="">
        <xdr:nvSpPr>
          <xdr:cNvPr id="111"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keeps dates and times based on the number of days starting from January 1, 1900. Times are kept in fractional portions of a day based on minutes. So 01/01/2017 12:30 PM is actually stored as 42736.5208. If the Time or Date show up as numbers like that, then you can press </a:t>
            </a:r>
            <a:r>
              <a:rPr lang="en-US" sz="1100" b="1" i="0" kern="1200" baseline="0">
                <a:solidFill>
                  <a:schemeClr val="dk1"/>
                </a:solidFill>
                <a:effectLst/>
                <a:latin typeface="+mn-lt"/>
                <a:ea typeface="+mn-ea"/>
                <a:cs typeface="+mn-cs"/>
              </a:rPr>
              <a:t>Ctrl+1</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Number</a:t>
            </a:r>
            <a:r>
              <a:rPr lang="en-US" sz="1100" b="0" i="0" kern="1200" baseline="0">
                <a:solidFill>
                  <a:schemeClr val="dk1"/>
                </a:solidFill>
                <a:effectLst/>
                <a:latin typeface="+mn-lt"/>
                <a:ea typeface="+mn-ea"/>
                <a:cs typeface="+mn-cs"/>
              </a:rPr>
              <a:t> &gt; select a </a:t>
            </a:r>
            <a:r>
              <a:rPr lang="en-US" sz="1100" b="1" i="0" kern="1200" baseline="0">
                <a:solidFill>
                  <a:schemeClr val="dk1"/>
                </a:solidFill>
                <a:effectLst/>
                <a:latin typeface="+mn-lt"/>
                <a:ea typeface="+mn-ea"/>
                <a:cs typeface="+mn-cs"/>
              </a:rPr>
              <a:t>Date </a:t>
            </a:r>
            <a:r>
              <a:rPr lang="en-US" sz="1100" b="0" i="0" kern="1200" baseline="0">
                <a:solidFill>
                  <a:schemeClr val="dk1"/>
                </a:solidFill>
                <a:effectLst/>
                <a:latin typeface="+mn-lt"/>
                <a:ea typeface="+mn-ea"/>
                <a:cs typeface="+mn-cs"/>
              </a:rPr>
              <a:t>or </a:t>
            </a:r>
            <a:r>
              <a:rPr lang="en-US" sz="1100" b="1" i="0" kern="1200" baseline="0">
                <a:solidFill>
                  <a:schemeClr val="dk1"/>
                </a:solidFill>
                <a:effectLst/>
                <a:latin typeface="+mn-lt"/>
                <a:ea typeface="+mn-ea"/>
                <a:cs typeface="+mn-cs"/>
              </a:rPr>
              <a:t>Time </a:t>
            </a:r>
            <a:r>
              <a:rPr lang="en-US" sz="1100" b="0" i="0" kern="1200" baseline="0">
                <a:solidFill>
                  <a:schemeClr val="dk1"/>
                </a:solidFill>
                <a:effectLst/>
                <a:latin typeface="+mn-lt"/>
                <a:ea typeface="+mn-ea"/>
                <a:cs typeface="+mn-cs"/>
              </a:rPr>
              <a:t>format. </a:t>
            </a:r>
            <a:endParaRPr lang="en-US" sz="1100">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363855</xdr:rowOff>
    </xdr:from>
    <xdr:to>
      <xdr:col>1</xdr:col>
      <xdr:colOff>5240655</xdr:colOff>
      <xdr:row>17</xdr:row>
      <xdr:rowOff>38100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63855"/>
          <a:ext cx="5783580" cy="3684270"/>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6"/>
            <a:ext cx="5467350" cy="590396"/>
            <a:chOff x="600549" y="7810500"/>
            <a:chExt cx="5195285" cy="596207"/>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Check out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MM/DD/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5"/>
            <a:ext cx="5448300" cy="615257"/>
            <a:chOff x="609600" y="7810500"/>
            <a:chExt cx="5186234" cy="596207"/>
          </a:xfrm>
        </xdr:grpSpPr>
        <xdr:sp macro="" textlink="">
          <xdr:nvSpPr>
            <xdr:cNvPr id="115"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MM/DD/YY format in cell D7, and watch Excel tell you how many days away it is by using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5"/>
            <a:ext cx="5457825" cy="605732"/>
            <a:chOff x="627640" y="7810500"/>
            <a:chExt cx="5168194" cy="596207"/>
          </a:xfrm>
        </xdr:grpSpPr>
        <xdr:sp macro="" textlink="">
          <xdr:nvSpPr>
            <xdr:cNvPr id="118"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what date a bill is due, or when you need to return a library book. You can add days to a date to find out. In cell D10, enter a random number of days. In cell D11, we added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17</xdr:row>
      <xdr:rowOff>135255</xdr:rowOff>
    </xdr:from>
    <xdr:to>
      <xdr:col>1</xdr:col>
      <xdr:colOff>5240655</xdr:colOff>
      <xdr:row>60</xdr:row>
      <xdr:rowOff>58877</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145280"/>
          <a:ext cx="5783580" cy="7753172"/>
          <a:chOff x="342900" y="4248150"/>
          <a:chExt cx="5734050" cy="840432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81025" y="6096000"/>
              <a:ext cx="5206583" cy="5829300"/>
              <a:chOff x="7200900" y="1143000"/>
              <a:chExt cx="5206583" cy="5829300"/>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200900" y="1143000"/>
                <a:ext cx="5206583" cy="596207"/>
                <a:chOff x="495420" y="7810500"/>
                <a:chExt cx="5201275"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D28,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44648"/>
                <a:ext cx="5159775" cy="593032"/>
                <a:chOff x="525612" y="7419975"/>
                <a:chExt cx="5511381" cy="567632"/>
              </a:xfrm>
            </xdr:grpSpPr>
            <xdr:sp macro="" textlink="">
              <xdr:nvSpPr>
                <xdr:cNvPr id="147"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subracts the time they took for lunch. The *24 at the end of the formula converts the fractional portion of the day that Excel sees into hours. You'll need to format the cell as a Number though. To do that,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1"/>
                <a:ext cx="5159775" cy="593032"/>
                <a:chOff x="525612" y="7419975"/>
                <a:chExt cx="5511381" cy="567632"/>
              </a:xfrm>
            </xdr:grpSpPr>
            <xdr:sp macro="" textlink="">
              <xdr:nvSpPr>
                <xdr:cNvPr id="145"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858134" y="4000501"/>
                <a:ext cx="4371970" cy="2971799"/>
                <a:chOff x="7777163" y="4047523"/>
                <a:chExt cx="4653382"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grpSp>
    <xdr:clientData/>
  </xdr:twoCellAnchor>
  <xdr:twoCellAnchor editAs="absolute">
    <xdr:from>
      <xdr:col>1</xdr:col>
      <xdr:colOff>5486400</xdr:colOff>
      <xdr:row>49</xdr:row>
      <xdr:rowOff>100599</xdr:rowOff>
    </xdr:from>
    <xdr:to>
      <xdr:col>5</xdr:col>
      <xdr:colOff>0</xdr:colOff>
      <xdr:row>57</xdr:row>
      <xdr:rowOff>19685</xdr:rowOff>
    </xdr:to>
    <xdr:grpSp>
      <xdr:nvGrpSpPr>
        <xdr:cNvPr id="153" name="Group 152">
          <a:extLst>
            <a:ext uri="{FF2B5EF4-FFF2-40B4-BE49-F238E27FC236}">
              <a16:creationId xmlns:a16="http://schemas.microsoft.com/office/drawing/2014/main" id="{5099300F-1CF9-4951-9904-72E39FABE751}"/>
            </a:ext>
          </a:extLst>
        </xdr:cNvPr>
        <xdr:cNvGrpSpPr/>
      </xdr:nvGrpSpPr>
      <xdr:grpSpPr>
        <a:xfrm>
          <a:off x="6372225" y="9952624"/>
          <a:ext cx="3581400" cy="1363711"/>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keyboard shortcuts to enter Dates and Times that won't continuously change:</a:t>
            </a:r>
          </a:p>
          <a:p>
            <a:pPr algn="ctr" eaLnBrk="1" fontAlgn="auto" latinLnBrk="0" hangingPunct="1"/>
            <a:endParaRPr lang="en-US" sz="1100" b="0" i="0" kern="1200" baseline="0">
              <a:solidFill>
                <a:schemeClr val="dk1"/>
              </a:solidFill>
              <a:effectLst/>
              <a:latin typeface="+mn-lt"/>
              <a:ea typeface="+mn-ea"/>
              <a:cs typeface="+mn-cs"/>
            </a:endParaRPr>
          </a:p>
          <a:p>
            <a:pPr algn="ctr" eaLnBrk="1" fontAlgn="auto" latinLnBrk="0" hangingPunct="1"/>
            <a:r>
              <a:rPr lang="en-US" sz="1100" b="0" i="0" kern="1200" baseline="0">
                <a:solidFill>
                  <a:schemeClr val="dk1"/>
                </a:solidFill>
                <a:effectLst/>
                <a:latin typeface="+mn-lt"/>
                <a:ea typeface="+mn-ea"/>
                <a:cs typeface="+mn-cs"/>
              </a:rPr>
              <a:t>Date - </a:t>
            </a:r>
            <a:r>
              <a:rPr lang="en-US" sz="1100" b="1" i="0" kern="1200" baseline="0">
                <a:solidFill>
                  <a:schemeClr val="dk1"/>
                </a:solidFill>
                <a:effectLst/>
                <a:latin typeface="+mn-lt"/>
                <a:ea typeface="+mn-ea"/>
                <a:cs typeface="+mn-cs"/>
              </a:rPr>
              <a:t>Ctrl+;</a:t>
            </a:r>
            <a:r>
              <a:rPr lang="en-US" sz="1100" b="0" i="0" kern="1200" baseline="0">
                <a:solidFill>
                  <a:schemeClr val="dk1"/>
                </a:solidFill>
                <a:effectLst/>
                <a:latin typeface="+mn-lt"/>
                <a:ea typeface="+mn-ea"/>
                <a:cs typeface="+mn-cs"/>
              </a:rPr>
              <a:t> </a:t>
            </a:r>
          </a:p>
          <a:p>
            <a:pPr algn="ctr" eaLnBrk="1" fontAlgn="auto" latinLnBrk="0" hangingPunct="1"/>
            <a:r>
              <a:rPr lang="en-US" sz="1100" b="0" i="0" kern="1200" baseline="0">
                <a:solidFill>
                  <a:schemeClr val="dk1"/>
                </a:solidFill>
                <a:effectLst/>
                <a:latin typeface="+mn-lt"/>
                <a:ea typeface="+mn-ea"/>
                <a:cs typeface="+mn-cs"/>
              </a:rPr>
              <a:t>Time - </a:t>
            </a:r>
            <a:r>
              <a:rPr lang="en-US"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60</xdr:row>
      <xdr:rowOff>173355</xdr:rowOff>
    </xdr:from>
    <xdr:to>
      <xdr:col>1</xdr:col>
      <xdr:colOff>5243703</xdr:colOff>
      <xdr:row>73</xdr:row>
      <xdr:rowOff>173355</xdr:rowOff>
    </xdr:to>
    <xdr:grpSp>
      <xdr:nvGrpSpPr>
        <xdr:cNvPr id="157" name="Group 156">
          <a:extLst>
            <a:ext uri="{FF2B5EF4-FFF2-40B4-BE49-F238E27FC236}">
              <a16:creationId xmlns:a16="http://schemas.microsoft.com/office/drawing/2014/main" id="{BBCBE502-8234-4D4A-9B27-5CABDDC8BAC3}"/>
            </a:ext>
          </a:extLst>
        </xdr:cNvPr>
        <xdr:cNvGrpSpPr/>
      </xdr:nvGrpSpPr>
      <xdr:grpSpPr>
        <a:xfrm>
          <a:off x="342900" y="12012930"/>
          <a:ext cx="5789803" cy="2352675"/>
          <a:chOff x="352425" y="12715875"/>
          <a:chExt cx="5733288" cy="2476500"/>
        </a:xfrm>
      </xdr:grpSpPr>
      <xdr:sp macro="" textlink="">
        <xdr:nvSpPr>
          <xdr:cNvPr id="158" name="Rectangle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9" name="Step" descr="More information on the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Straight Connector 159" descr="Decorative line">
            <a:extLst>
              <a:ext uri="{FF2B5EF4-FFF2-40B4-BE49-F238E27FC236}">
                <a16:creationId xmlns:a16="http://schemas.microsoft.com/office/drawing/2014/main" id="{52A9E11F-836A-48CD-A0B1-5196D5B7FDEF}"/>
              </a:ext>
            </a:extLst>
          </xdr:cNvPr>
          <xdr:cNvCxnSpPr>
            <a:cxnSpLocks/>
          </xdr:cNvCxnSpPr>
        </xdr:nvCxnSpPr>
        <xdr:spPr>
          <a:xfrm>
            <a:off x="564965" y="1324014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descr="Decorative lin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64</xdr:row>
      <xdr:rowOff>25484</xdr:rowOff>
    </xdr:from>
    <xdr:to>
      <xdr:col>1</xdr:col>
      <xdr:colOff>2590800</xdr:colOff>
      <xdr:row>66</xdr:row>
      <xdr:rowOff>2293</xdr:rowOff>
    </xdr:to>
    <xdr:grpSp>
      <xdr:nvGrpSpPr>
        <xdr:cNvPr id="14" name="Group 13">
          <a:extLst>
            <a:ext uri="{FF2B5EF4-FFF2-40B4-BE49-F238E27FC236}">
              <a16:creationId xmlns:a16="http://schemas.microsoft.com/office/drawing/2014/main" id="{C4A695FE-F3AB-4030-A0F4-F10322DAD2D7}"/>
            </a:ext>
          </a:extLst>
        </xdr:cNvPr>
        <xdr:cNvGrpSpPr/>
      </xdr:nvGrpSpPr>
      <xdr:grpSpPr>
        <a:xfrm>
          <a:off x="571931" y="12592134"/>
          <a:ext cx="2904694" cy="335584"/>
          <a:chOff x="571931" y="13599244"/>
          <a:chExt cx="2866594" cy="359079"/>
        </a:xfrm>
      </xdr:grpSpPr>
      <xdr:sp macro="" textlink="">
        <xdr:nvSpPr>
          <xdr:cNvPr id="162" name="Step" descr="All about the TODAY function, Hyperlinked to web&#10;&#10;">
            <a:hlinkClick xmlns:r="http://schemas.openxmlformats.org/officeDocument/2006/relationships" r:id="rId5" tooltip="Select to learn all about the TODAY function on the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63" name="Graphic 22" descr="Arrow">
            <a:hlinkClick xmlns:r="http://schemas.openxmlformats.org/officeDocument/2006/relationships" r:id="rId5" tooltip="Select to learn more from the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66</xdr:row>
      <xdr:rowOff>63841</xdr:rowOff>
    </xdr:from>
    <xdr:to>
      <xdr:col>1</xdr:col>
      <xdr:colOff>2610485</xdr:colOff>
      <xdr:row>68</xdr:row>
      <xdr:rowOff>24370</xdr:rowOff>
    </xdr:to>
    <xdr:grpSp>
      <xdr:nvGrpSpPr>
        <xdr:cNvPr id="13" name="Group 12">
          <a:extLst>
            <a:ext uri="{FF2B5EF4-FFF2-40B4-BE49-F238E27FC236}">
              <a16:creationId xmlns:a16="http://schemas.microsoft.com/office/drawing/2014/main" id="{E793ECE4-F54A-4632-BABB-CDB76236E886}"/>
            </a:ext>
          </a:extLst>
        </xdr:cNvPr>
        <xdr:cNvGrpSpPr/>
      </xdr:nvGrpSpPr>
      <xdr:grpSpPr>
        <a:xfrm>
          <a:off x="571931" y="12992441"/>
          <a:ext cx="2924379" cy="322479"/>
          <a:chOff x="571931" y="14014791"/>
          <a:chExt cx="2895169" cy="364389"/>
        </a:xfrm>
      </xdr:grpSpPr>
      <xdr:sp macro="" textlink="">
        <xdr:nvSpPr>
          <xdr:cNvPr id="164" name="Step" descr="All about the NOW function, hyperlinked to web&#10;">
            <a:hlinkClick xmlns:r="http://schemas.openxmlformats.org/officeDocument/2006/relationships" r:id="rId8" tooltip="Select to learn all about the NOW function on the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5" name="Graphic 22" descr="Arrow">
            <a:hlinkClick xmlns:r="http://schemas.openxmlformats.org/officeDocument/2006/relationships" r:id="rId8" tooltip="Select to learn more from the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597240</xdr:colOff>
      <xdr:row>70</xdr:row>
      <xdr:rowOff>178103</xdr:rowOff>
    </xdr:from>
    <xdr:to>
      <xdr:col>1</xdr:col>
      <xdr:colOff>2233222</xdr:colOff>
      <xdr:row>72</xdr:row>
      <xdr:rowOff>138632</xdr:rowOff>
    </xdr:to>
    <xdr:grpSp>
      <xdr:nvGrpSpPr>
        <xdr:cNvPr id="9" name="Group 8">
          <a:extLst>
            <a:ext uri="{FF2B5EF4-FFF2-40B4-BE49-F238E27FC236}">
              <a16:creationId xmlns:a16="http://schemas.microsoft.com/office/drawing/2014/main" id="{659E6730-AC76-4CC7-A823-D2C618696DAA}"/>
            </a:ext>
          </a:extLst>
        </xdr:cNvPr>
        <xdr:cNvGrpSpPr/>
      </xdr:nvGrpSpPr>
      <xdr:grpSpPr>
        <a:xfrm>
          <a:off x="600415" y="13830603"/>
          <a:ext cx="2521807" cy="322479"/>
          <a:chOff x="584540" y="14891053"/>
          <a:chExt cx="2504027" cy="364389"/>
        </a:xfrm>
      </xdr:grpSpPr>
      <xdr:sp macro="" textlink="">
        <xdr:nvSpPr>
          <xdr:cNvPr id="166"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7" name="Graphic 22" descr="Arrow">
            <a:hlinkClick xmlns:r="http://schemas.openxmlformats.org/officeDocument/2006/relationships" r:id="rId9" tooltip="Select to learn more from the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592886</xdr:colOff>
      <xdr:row>68</xdr:row>
      <xdr:rowOff>98618</xdr:rowOff>
    </xdr:from>
    <xdr:to>
      <xdr:col>1</xdr:col>
      <xdr:colOff>2628900</xdr:colOff>
      <xdr:row>70</xdr:row>
      <xdr:rowOff>74387</xdr:rowOff>
    </xdr:to>
    <xdr:grpSp>
      <xdr:nvGrpSpPr>
        <xdr:cNvPr id="12" name="Group 11">
          <a:extLst>
            <a:ext uri="{FF2B5EF4-FFF2-40B4-BE49-F238E27FC236}">
              <a16:creationId xmlns:a16="http://schemas.microsoft.com/office/drawing/2014/main" id="{FF28E0D6-012A-4FA6-9D67-C8B77A5CC9E6}"/>
            </a:ext>
          </a:extLst>
        </xdr:cNvPr>
        <xdr:cNvGrpSpPr/>
      </xdr:nvGrpSpPr>
      <xdr:grpSpPr>
        <a:xfrm>
          <a:off x="592886" y="13389168"/>
          <a:ext cx="2921839" cy="334544"/>
          <a:chOff x="581456" y="14435648"/>
          <a:chExt cx="2895169" cy="364389"/>
        </a:xfrm>
      </xdr:grpSpPr>
      <xdr:sp macro="" textlink="">
        <xdr:nvSpPr>
          <xdr:cNvPr id="168" name="Step" descr="All about the DATE function, hyperlinked to web&#10;">
            <a:hlinkClick xmlns:r="http://schemas.openxmlformats.org/officeDocument/2006/relationships" r:id="rId10" tooltip="Select to learn all about the DATE function on the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63333</xdr:colOff>
      <xdr:row>6</xdr:row>
      <xdr:rowOff>136864</xdr:rowOff>
    </xdr:from>
    <xdr:to>
      <xdr:col>10</xdr:col>
      <xdr:colOff>176741</xdr:colOff>
      <xdr:row>13</xdr:row>
      <xdr:rowOff>137158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9410533" y="2064089"/>
          <a:ext cx="3961508" cy="1362369"/>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p>
          <a:p>
            <a:pPr eaLnBrk="1" fontAlgn="auto" latinLnBrk="0" hangingPunct="1"/>
            <a:r>
              <a:rPr lang="en-US" sz="1100" b="0" i="0" kern="1200" baseline="0">
                <a:solidFill>
                  <a:schemeClr val="dk1"/>
                </a:solidFill>
                <a:effectLst/>
                <a:latin typeface="+mn-lt"/>
                <a:ea typeface="+mn-ea"/>
                <a:cs typeface="+mn-cs"/>
              </a:rPr>
              <a:t>If you don't want Excel to display a negative number, because you haven't entered your birthday yet, you can use an IF function like this: </a:t>
            </a:r>
            <a:r>
              <a:rPr lang="en-US" sz="1100" b="1" i="0" kern="1200" baseline="0">
                <a:solidFill>
                  <a:schemeClr val="dk1"/>
                </a:solidFill>
                <a:effectLst/>
                <a:latin typeface="+mn-lt"/>
                <a:ea typeface="+mn-ea"/>
                <a:cs typeface="+mn-cs"/>
              </a:rPr>
              <a:t>=IF(D7="","",D7-D6)</a:t>
            </a:r>
            <a:r>
              <a:rPr lang="en-US" sz="1100" b="0" i="0" kern="1200" baseline="0">
                <a:solidFill>
                  <a:schemeClr val="dk1"/>
                </a:solidFill>
                <a:effectLst/>
                <a:latin typeface="+mn-lt"/>
                <a:ea typeface="+mn-ea"/>
                <a:cs typeface="+mn-cs"/>
              </a:rPr>
              <a:t>, which says, "IF D7 equals nothing, then show nothing, otherwise show D7 minus D6".</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3850" y="4806950"/>
          <a:ext cx="5768975" cy="4298950"/>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Using text and numbers together</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Now we'll use the &amp; to join text and numbers, not just text and text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Look at cells C28:D29. See how the date and times are in separate cells? You can join them together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 and a format code.</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xt_Step" descr="In cell C36, enter =C28&amp;&quot; &quot;&amp;TEXT(D28,&quot;MM/DD/YYYY&quot;). MM/DD/YYYY is the US format code for Month/Day/Year, like 09/25/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C36,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"&amp;TEXT(D28,"MM/DD/YYYY")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MM/DD/YYYY is the US format code for Month/Day/Year, like 09/25/2017.</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txt_Step" descr="In cell C37, enter =C29&amp;&quot; &quot;&amp;TEXT(D29,&quot;HH:MM AM/PM&quot;). HH:MM AM/PM is the US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"&amp;TEXT(D29,"HH:MM AM/PM")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is the US format code for Hours:Minutes AM or PM</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like 1:30 PM.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550545</xdr:colOff>
      <xdr:row>44</xdr:row>
      <xdr:rowOff>53975</xdr:rowOff>
    </xdr:from>
    <xdr:to>
      <xdr:col>1</xdr:col>
      <xdr:colOff>969100</xdr:colOff>
      <xdr:row>46</xdr:row>
      <xdr:rowOff>21124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3711941</xdr:colOff>
      <xdr:row>44</xdr:row>
      <xdr:rowOff>53975</xdr:rowOff>
    </xdr:from>
    <xdr:to>
      <xdr:col>1</xdr:col>
      <xdr:colOff>4988381</xdr:colOff>
      <xdr:row>46</xdr:row>
      <xdr:rowOff>21124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5470842</xdr:colOff>
      <xdr:row>41</xdr:row>
      <xdr:rowOff>131445</xdr:rowOff>
    </xdr:from>
    <xdr:to>
      <xdr:col>4</xdr:col>
      <xdr:colOff>1178453</xdr:colOff>
      <xdr:row>50</xdr:row>
      <xdr:rowOff>132504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359842" y="8132445"/>
          <a:ext cx="3686386" cy="1629834"/>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If you don't know what format code to use, you can use </a:t>
            </a:r>
            <a:r>
              <a:rPr lang="en-US" sz="1100" b="1" kern="0">
                <a:solidFill>
                  <a:schemeClr val="bg2">
                    <a:lumMod val="25000"/>
                  </a:schemeClr>
                </a:solidFill>
                <a:ea typeface="Segoe UI" pitchFamily="34" charset="0"/>
                <a:cs typeface="Segoe UI Light" panose="020B0502040204020203" pitchFamily="34" charset="0"/>
              </a:rPr>
              <a:t>Ctrl+1</a:t>
            </a:r>
            <a:r>
              <a:rPr lang="en-US" sz="1100" kern="0">
                <a:solidFill>
                  <a:schemeClr val="bg2">
                    <a:lumMod val="25000"/>
                  </a:schemeClr>
                </a:solidFill>
                <a:ea typeface="Segoe UI" pitchFamily="34" charset="0"/>
                <a:cs typeface="Segoe UI Light" panose="020B0502040204020203" pitchFamily="34" charset="0"/>
              </a:rPr>
              <a:t> &gt; </a:t>
            </a:r>
            <a:r>
              <a:rPr lang="en-US" sz="1100" b="1" kern="0">
                <a:solidFill>
                  <a:schemeClr val="bg2">
                    <a:lumMod val="25000"/>
                  </a:schemeClr>
                </a:solidFill>
                <a:ea typeface="Segoe UI" pitchFamily="34" charset="0"/>
                <a:cs typeface="Segoe UI Light" panose="020B0502040204020203" pitchFamily="34" charset="0"/>
              </a:rPr>
              <a:t>Number</a:t>
            </a:r>
            <a:r>
              <a:rPr lang="en-US" sz="1100" kern="0">
                <a:solidFill>
                  <a:schemeClr val="bg2">
                    <a:lumMod val="25000"/>
                  </a:schemeClr>
                </a:solidFill>
                <a:ea typeface="Segoe UI" pitchFamily="34" charset="0"/>
                <a:cs typeface="Segoe UI Light" panose="020B0502040204020203" pitchFamily="34" charset="0"/>
              </a:rPr>
              <a:t> to format any cell the way you want.  Then select the </a:t>
            </a:r>
            <a:r>
              <a:rPr lang="en-US" sz="1100" b="1" kern="0">
                <a:solidFill>
                  <a:schemeClr val="bg2">
                    <a:lumMod val="25000"/>
                  </a:schemeClr>
                </a:solidFill>
                <a:ea typeface="Segoe UI" pitchFamily="34" charset="0"/>
                <a:cs typeface="Segoe UI Light" panose="020B0502040204020203" pitchFamily="34" charset="0"/>
              </a:rPr>
              <a:t>Custom</a:t>
            </a:r>
            <a:r>
              <a:rPr lang="en-US" sz="1100" b="0" kern="0">
                <a:solidFill>
                  <a:schemeClr val="bg2">
                    <a:lumMod val="25000"/>
                  </a:schemeClr>
                </a:solidFill>
                <a:ea typeface="Segoe UI" pitchFamily="34" charset="0"/>
                <a:cs typeface="Segoe UI Light" panose="020B0502040204020203" pitchFamily="34" charset="0"/>
              </a:rPr>
              <a:t> option</a:t>
            </a:r>
            <a:r>
              <a:rPr lang="en-US" sz="1100" kern="0">
                <a:solidFill>
                  <a:schemeClr val="bg2">
                    <a:lumMod val="25000"/>
                  </a:schemeClr>
                </a:solidFill>
                <a:ea typeface="Segoe UI" pitchFamily="34" charset="0"/>
                <a:cs typeface="Segoe UI Light" panose="020B0502040204020203" pitchFamily="34" charset="0"/>
              </a:rPr>
              <a:t>. You can copy the format code that's displayed back to your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58</xdr:row>
      <xdr:rowOff>76199</xdr:rowOff>
    </xdr:to>
    <xdr:grpSp>
      <xdr:nvGrpSpPr>
        <xdr:cNvPr id="110" name="Group 109">
          <a:extLst>
            <a:ext uri="{FF2B5EF4-FFF2-40B4-BE49-F238E27FC236}">
              <a16:creationId xmlns:a16="http://schemas.microsoft.com/office/drawing/2014/main" id="{AB7C580B-2584-48A5-99EE-E42C35C6718F}"/>
            </a:ext>
          </a:extLst>
        </xdr:cNvPr>
        <xdr:cNvGrpSpPr/>
      </xdr:nvGrpSpPr>
      <xdr:grpSpPr>
        <a:xfrm>
          <a:off x="323850" y="9194799"/>
          <a:ext cx="5774563" cy="1958975"/>
          <a:chOff x="323850" y="9629774"/>
          <a:chExt cx="5733288" cy="2066925"/>
        </a:xfrm>
      </xdr:grpSpPr>
      <xdr:sp macro="" textlink="">
        <xdr:nvSpPr>
          <xdr:cNvPr id="76" name="Rectangle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7" name="Step" descr="More information on the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Straight Connector 77" descr="Decorative lin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descr="Decorative lin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50</xdr:row>
      <xdr:rowOff>104951</xdr:rowOff>
    </xdr:from>
    <xdr:to>
      <xdr:col>1</xdr:col>
      <xdr:colOff>2572868</xdr:colOff>
      <xdr:row>52</xdr:row>
      <xdr:rowOff>80567</xdr:rowOff>
    </xdr:to>
    <xdr:grpSp>
      <xdr:nvGrpSpPr>
        <xdr:cNvPr id="29" name="Group 28">
          <a:extLst>
            <a:ext uri="{FF2B5EF4-FFF2-40B4-BE49-F238E27FC236}">
              <a16:creationId xmlns:a16="http://schemas.microsoft.com/office/drawing/2014/main" id="{56EB2164-D147-400B-8F32-5162F0FB9573}"/>
            </a:ext>
          </a:extLst>
        </xdr:cNvPr>
        <xdr:cNvGrpSpPr/>
      </xdr:nvGrpSpPr>
      <xdr:grpSpPr>
        <a:xfrm>
          <a:off x="535207" y="9731551"/>
          <a:ext cx="2923486" cy="343916"/>
          <a:chOff x="535207" y="10201451"/>
          <a:chExt cx="2885386" cy="356616"/>
        </a:xfrm>
      </xdr:grpSpPr>
      <xdr:sp macro="" textlink="">
        <xdr:nvSpPr>
          <xdr:cNvPr id="80" name="Step" descr="All about the TEXT function&#10;&#10;&#10;">
            <a:hlinkClick xmlns:r="http://schemas.openxmlformats.org/officeDocument/2006/relationships" r:id="rId5" tooltip="Select to learn all about the TEXT function on the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81" name="Graphic 22" descr="Arrow">
            <a:hlinkClick xmlns:r="http://schemas.openxmlformats.org/officeDocument/2006/relationships" r:id="rId5" tooltip="Select to learn more from the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52</xdr:row>
      <xdr:rowOff>126167</xdr:rowOff>
    </xdr:from>
    <xdr:to>
      <xdr:col>1</xdr:col>
      <xdr:colOff>2601630</xdr:colOff>
      <xdr:row>54</xdr:row>
      <xdr:rowOff>101783</xdr:rowOff>
    </xdr:to>
    <xdr:grpSp>
      <xdr:nvGrpSpPr>
        <xdr:cNvPr id="28" name="Group 27">
          <a:extLst>
            <a:ext uri="{FF2B5EF4-FFF2-40B4-BE49-F238E27FC236}">
              <a16:creationId xmlns:a16="http://schemas.microsoft.com/office/drawing/2014/main" id="{EA729A85-5078-41D7-B98C-429FBA889789}"/>
            </a:ext>
          </a:extLst>
        </xdr:cNvPr>
        <xdr:cNvGrpSpPr/>
      </xdr:nvGrpSpPr>
      <xdr:grpSpPr>
        <a:xfrm>
          <a:off x="535207" y="10114717"/>
          <a:ext cx="2949073" cy="343916"/>
          <a:chOff x="535207" y="10603667"/>
          <a:chExt cx="2914148" cy="356616"/>
        </a:xfrm>
      </xdr:grpSpPr>
      <xdr:sp macro="" textlink="">
        <xdr:nvSpPr>
          <xdr:cNvPr id="82" name="Step" descr="Combine text and numbers, hyperlinked to web&#10;">
            <a:hlinkClick xmlns:r="http://schemas.openxmlformats.org/officeDocument/2006/relationships" r:id="rId8" tooltip="Select to learn all about combining text and numbers on the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Combine text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phic 22" descr="Arrow">
            <a:hlinkClick xmlns:r="http://schemas.openxmlformats.org/officeDocument/2006/relationships" r:id="rId8" tooltip="Select to learn more from the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54</xdr:row>
      <xdr:rowOff>152717</xdr:rowOff>
    </xdr:from>
    <xdr:to>
      <xdr:col>1</xdr:col>
      <xdr:colOff>2220615</xdr:colOff>
      <xdr:row>56</xdr:row>
      <xdr:rowOff>128333</xdr:rowOff>
    </xdr:to>
    <xdr:grpSp>
      <xdr:nvGrpSpPr>
        <xdr:cNvPr id="19" name="Group 18">
          <a:extLst>
            <a:ext uri="{FF2B5EF4-FFF2-40B4-BE49-F238E27FC236}">
              <a16:creationId xmlns:a16="http://schemas.microsoft.com/office/drawing/2014/main" id="{8908DE80-CBDC-46BF-A1D9-D258E3790FF2}"/>
            </a:ext>
          </a:extLst>
        </xdr:cNvPr>
        <xdr:cNvGrpSpPr/>
      </xdr:nvGrpSpPr>
      <xdr:grpSpPr>
        <a:xfrm>
          <a:off x="544724" y="10506392"/>
          <a:ext cx="2558541" cy="334391"/>
          <a:chOff x="547899" y="11011217"/>
          <a:chExt cx="2520441" cy="356616"/>
        </a:xfrm>
      </xdr:grpSpPr>
      <xdr:sp macro="" textlink="">
        <xdr:nvSpPr>
          <xdr:cNvPr id="84"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0200" y="349250"/>
          <a:ext cx="5775325" cy="4371975"/>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Joining text from different cells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and last names, and want to combine them as first name, last 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There are many times in Excel when you want to join text that's in different cells. This example is very common, where you have first and last names, and want to combine them as first name, last name, or full name. Fortunately, Excel lets us do that with the Ampersand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sign, which you can enter with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Step" descr="In cell E3, enter =D3&amp;C3 to join the last and first names.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E3,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join the last and first names.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8125" y="2166938"/>
            <a:ext cx="5220101" cy="567632"/>
            <a:chOff x="590674" y="7810500"/>
            <a:chExt cx="5186234" cy="567632"/>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8369" y="7823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 doesn't look quite right though. We need to add a comma and a space. To do that we'll use quotes to create a new text string. This time,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portion lets us join a comma and space with the text in the cells.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Step" descr="To create the full name, we'll join first and last 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create the full name, we'll join first and last name, but use a space without a comma. In F3,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588645</xdr:colOff>
      <xdr:row>19</xdr:row>
      <xdr:rowOff>130175</xdr:rowOff>
    </xdr:from>
    <xdr:to>
      <xdr:col>1</xdr:col>
      <xdr:colOff>2474582</xdr:colOff>
      <xdr:row>22</xdr:row>
      <xdr:rowOff>96902</xdr:rowOff>
    </xdr:to>
    <xdr:sp macro="" textlink="">
      <xdr:nvSpPr>
        <xdr:cNvPr id="102" name="btn_DeepDive" descr="Dive down for more detail">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1</xdr:col>
      <xdr:colOff>3711941</xdr:colOff>
      <xdr:row>19</xdr:row>
      <xdr:rowOff>130175</xdr:rowOff>
    </xdr:from>
    <xdr:to>
      <xdr:col>1</xdr:col>
      <xdr:colOff>4988381</xdr:colOff>
      <xdr:row>21</xdr:row>
      <xdr:rowOff>97324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4</xdr:col>
      <xdr:colOff>0</xdr:colOff>
      <xdr:row>33</xdr:row>
      <xdr:rowOff>53975</xdr:rowOff>
    </xdr:from>
    <xdr:to>
      <xdr:col>6</xdr:col>
      <xdr:colOff>589279</xdr:colOff>
      <xdr:row>40</xdr:row>
      <xdr:rowOff>130176</xdr:rowOff>
    </xdr:to>
    <xdr:grpSp>
      <xdr:nvGrpSpPr>
        <xdr:cNvPr id="104" name="CHECK THIS OUT" descr="CHECK THIS OUT&#10;&#10;">
          <a:extLst>
            <a:ext uri="{FF2B5EF4-FFF2-40B4-BE49-F238E27FC236}">
              <a16:creationId xmlns:a16="http://schemas.microsoft.com/office/drawing/2014/main" id="{EFD4E48E-5D2B-4B5E-9DBB-99430A62BD96}"/>
            </a:ext>
          </a:extLst>
        </xdr:cNvPr>
        <xdr:cNvGrpSpPr/>
      </xdr:nvGrpSpPr>
      <xdr:grpSpPr>
        <a:xfrm>
          <a:off x="8867775" y="6607175"/>
          <a:ext cx="3342004" cy="1343026"/>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tion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Formulas,</a:t>
            </a:r>
            <a:r>
              <a:rPr lang="en-US" sz="1100" kern="0" baseline="0">
                <a:solidFill>
                  <a:schemeClr val="bg2">
                    <a:lumMod val="25000"/>
                  </a:schemeClr>
                </a:solidFill>
                <a:latin typeface="+mn-lt"/>
                <a:ea typeface="Segoe UI" pitchFamily="34" charset="0"/>
                <a:cs typeface="Segoe UI Light" panose="020B0502040204020203" pitchFamily="34" charset="0"/>
              </a:rPr>
              <a:t> especially big ones, can sometimes be hard to read, but you can break up their parts with spaces like this:</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b="1">
                <a:solidFill>
                  <a:schemeClr val="bg2">
                    <a:lumMod val="25000"/>
                  </a:schemeClr>
                </a:solidFill>
                <a:latin typeface="+mn-lt"/>
                <a:ea typeface="Segoe UI" pitchFamily="34" charset="0"/>
                <a:cs typeface="Segoe UI Light" panose="020B0502040204020203" pitchFamily="34" charset="0"/>
              </a:rPr>
              <a:t>=C28 &amp; " " &amp; TEXT(D28,"MM/DD/YYYY")</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368300</xdr:rowOff>
    </xdr:from>
    <xdr:to>
      <xdr:col>1</xdr:col>
      <xdr:colOff>5244465</xdr:colOff>
      <xdr:row>22</xdr:row>
      <xdr:rowOff>178139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71475"/>
          <a:ext cx="5790565" cy="4438989"/>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statements</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allow you to make logical comparisons between conditions. An IF statement generally says that if one condition is true do something, otherwise do something else. The formulas can return text, values, or even more calculations.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D9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=IF(C9="Apple",TRUE,FALSE)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correct answer is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Copy D9 to D10. The answer here should be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because an orange is not an apple.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220103" cy="596207"/>
            <a:chOff x="694767" y="7810500"/>
            <a:chExt cx="5186236" cy="596207"/>
          </a:xfrm>
        </xdr:grpSpPr>
        <xdr:sp macro="" textlink="">
          <xdr:nvSpPr>
            <xdr:cNvPr id="88" name="txt_Step" descr="Try another example by looking at the formula in cell D12. We got you started with =IF(C12&lt;100,&quot;Less than 100&quot;,&quot;Greater than or equal to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4"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example by looking at the formula in cell D12. We got you started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=IF(C12&lt;100,"Less than 100","Greater than or equal to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What happens if you enter a number greater than or equal to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in cell C12?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3677722</xdr:colOff>
      <xdr:row>19</xdr:row>
      <xdr:rowOff>76200</xdr:rowOff>
    </xdr:from>
    <xdr:to>
      <xdr:col>1</xdr:col>
      <xdr:colOff>4973212</xdr:colOff>
      <xdr:row>21</xdr:row>
      <xdr:rowOff>20489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2</xdr:col>
      <xdr:colOff>420093</xdr:colOff>
      <xdr:row>13</xdr:row>
      <xdr:rowOff>173238</xdr:rowOff>
    </xdr:from>
    <xdr:to>
      <xdr:col>5</xdr:col>
      <xdr:colOff>596276</xdr:colOff>
      <xdr:row>21</xdr:row>
      <xdr:rowOff>63498</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7097118" y="3164088"/>
          <a:ext cx="3798858" cy="1350760"/>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TRUE</a:t>
            </a:r>
            <a:r>
              <a:rPr lang="en-US" sz="1100" b="0" i="0" kern="1200" baseline="0">
                <a:solidFill>
                  <a:schemeClr val="dk1"/>
                </a:solidFill>
                <a:effectLst/>
                <a:latin typeface="+mn-lt"/>
                <a:ea typeface="+mn-ea"/>
                <a:cs typeface="+mn-cs"/>
              </a:rPr>
              <a:t> and </a:t>
            </a:r>
            <a:r>
              <a:rPr lang="en-US" sz="1100" b="1" i="0" kern="1200" baseline="0">
                <a:solidFill>
                  <a:schemeClr val="dk1"/>
                </a:solidFill>
                <a:effectLst/>
                <a:latin typeface="+mn-lt"/>
                <a:ea typeface="+mn-ea"/>
                <a:cs typeface="+mn-cs"/>
              </a:rPr>
              <a:t>FALSE</a:t>
            </a:r>
            <a:r>
              <a:rPr lang="en-US" sz="1100" b="0" i="0" kern="1200" baseline="0">
                <a:solidFill>
                  <a:schemeClr val="dk1"/>
                </a:solidFill>
                <a:effectLst/>
                <a:latin typeface="+mn-lt"/>
                <a:ea typeface="+mn-ea"/>
                <a:cs typeface="+mn-cs"/>
              </a:rPr>
              <a:t> are unlike other words in Excel formulas in that they don't need to be in quotes, and Excel will automatically capitalize them. Numbers don't need to be in quotes either. Regular text, like </a:t>
            </a:r>
            <a:r>
              <a:rPr lang="en-US" sz="1100" b="1" i="0" kern="1200" baseline="0">
                <a:solidFill>
                  <a:schemeClr val="dk1"/>
                </a:solidFill>
                <a:effectLst/>
                <a:latin typeface="+mn-lt"/>
                <a:ea typeface="+mn-ea"/>
                <a:cs typeface="+mn-cs"/>
              </a:rPr>
              <a:t>Yes</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No</a:t>
            </a:r>
            <a:r>
              <a:rPr lang="en-US" sz="1100" b="0" i="0" kern="1200" baseline="0">
                <a:solidFill>
                  <a:schemeClr val="dk1"/>
                </a:solidFill>
                <a:effectLst/>
                <a:latin typeface="+mn-lt"/>
                <a:ea typeface="+mn-ea"/>
                <a:cs typeface="+mn-cs"/>
              </a:rPr>
              <a:t> does need to be in quotes like this: </a:t>
            </a:r>
          </a:p>
          <a:p>
            <a:pPr eaLnBrk="1" fontAlgn="auto" latinLnBrk="0" hangingPunct="1"/>
            <a:r>
              <a:rPr lang="en-US" sz="1100" b="1" kern="1200">
                <a:solidFill>
                  <a:schemeClr val="dk1"/>
                </a:solidFill>
                <a:latin typeface="+mn-lt"/>
                <a:ea typeface="+mn-ea"/>
                <a:cs typeface="+mn-cs"/>
              </a:rPr>
              <a:t>=IF(C3="Apple","Yes","No")</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5471795</xdr:colOff>
      <xdr:row>41</xdr:row>
      <xdr:rowOff>139065</xdr:rowOff>
    </xdr:from>
    <xdr:to>
      <xdr:col>4</xdr:col>
      <xdr:colOff>594995</xdr:colOff>
      <xdr:row>46</xdr:row>
      <xdr:rowOff>135408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360795" y="8314690"/>
          <a:ext cx="3924300" cy="898043"/>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b="1" i="1" u="sng" kern="0">
                <a:solidFill>
                  <a:schemeClr val="accent1"/>
                </a:solidFill>
                <a:ea typeface="Segoe UI" pitchFamily="34" charset="0"/>
                <a:cs typeface="Segoe UI Light" panose="020B0502040204020203" pitchFamily="34" charset="0"/>
              </a:rPr>
              <a:t>Named Ranges </a:t>
            </a:r>
            <a:r>
              <a:rPr lang="en-US" sz="1100" kern="0">
                <a:solidFill>
                  <a:schemeClr val="bg2">
                    <a:lumMod val="25000"/>
                  </a:schemeClr>
                </a:solidFill>
                <a:ea typeface="Segoe UI" pitchFamily="34" charset="0"/>
                <a:cs typeface="Segoe UI Light" panose="020B0502040204020203" pitchFamily="34" charset="0"/>
              </a:rPr>
              <a:t>allow you to define terms or values in a single place, and then reuse them throughout</a:t>
            </a:r>
            <a:r>
              <a:rPr lang="en-US" sz="1100" kern="0" baseline="0">
                <a:solidFill>
                  <a:schemeClr val="bg2">
                    <a:lumMod val="25000"/>
                  </a:schemeClr>
                </a:solidFill>
                <a:ea typeface="Segoe UI" pitchFamily="34" charset="0"/>
                <a:cs typeface="Segoe UI Light" panose="020B0502040204020203" pitchFamily="34" charset="0"/>
              </a:rPr>
              <a:t> a workbook. You can see all of the named ranges in this workbook by going to </a:t>
            </a:r>
            <a:r>
              <a:rPr lang="en-US" sz="1100" b="1" kern="0" baseline="0">
                <a:solidFill>
                  <a:schemeClr val="bg2">
                    <a:lumMod val="25000"/>
                  </a:schemeClr>
                </a:solidFill>
                <a:ea typeface="Segoe UI" pitchFamily="34" charset="0"/>
                <a:cs typeface="Segoe UI Light" panose="020B0502040204020203" pitchFamily="34" charset="0"/>
              </a:rPr>
              <a:t>Formulas</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Name Manager.</a:t>
            </a:r>
            <a:r>
              <a:rPr lang="en-US" sz="1100" b="0" kern="0" baseline="0">
                <a:solidFill>
                  <a:schemeClr val="bg2">
                    <a:lumMod val="25000"/>
                  </a:schemeClr>
                </a:solidFill>
                <a:ea typeface="Segoe UI" pitchFamily="34" charset="0"/>
                <a:cs typeface="Segoe UI Light" panose="020B0502040204020203" pitchFamily="34" charset="0"/>
              </a:rPr>
              <a:t> 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63501</xdr:colOff>
      <xdr:row>31</xdr:row>
      <xdr:rowOff>139729</xdr:rowOff>
    </xdr:from>
    <xdr:to>
      <xdr:col>11</xdr:col>
      <xdr:colOff>479424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0972801" y="6429404"/>
          <a:ext cx="3460748" cy="1639725"/>
          <a:chOff x="6778625" y="15619705"/>
          <a:chExt cx="3174461" cy="1671345"/>
        </a:xfrm>
      </xdr:grpSpPr>
      <xdr:sp macro="" textlink="">
        <xdr:nvSpPr>
          <xdr:cNvPr id="98" name="Step"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When you create a formula, Excel will automatically place colored borders around any ranges referenced in the formula, and the corresponding ranges in the formula will be the same color. You can see this if you select cell F33 and press </a:t>
            </a:r>
            <a:r>
              <a:rPr lang="en-US" sz="1100" b="1" i="0" kern="1200" baseline="0">
                <a:solidFill>
                  <a:schemeClr val="dk1"/>
                </a:solidFill>
                <a:effectLst/>
                <a:latin typeface="+mn-lt"/>
                <a:ea typeface="+mn-ea"/>
                <a:cs typeface="+mn-cs"/>
              </a:rPr>
              <a:t>F2</a:t>
            </a:r>
            <a:r>
              <a:rPr lang="en-US" sz="1100" b="0" i="0" kern="1200" baseline="0">
                <a:solidFill>
                  <a:schemeClr val="dk1"/>
                </a:solidFill>
                <a:effectLst/>
                <a:latin typeface="+mn-lt"/>
                <a:ea typeface="+mn-ea"/>
                <a:cs typeface="+mn-cs"/>
              </a:rPr>
              <a:t> to edit the formula.</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596900</xdr:colOff>
      <xdr:row>19</xdr:row>
      <xdr:rowOff>76200</xdr:rowOff>
    </xdr:from>
    <xdr:to>
      <xdr:col>1</xdr:col>
      <xdr:colOff>2500617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328295</xdr:colOff>
      <xdr:row>23</xdr:row>
      <xdr:rowOff>60324</xdr:rowOff>
    </xdr:from>
    <xdr:to>
      <xdr:col>1</xdr:col>
      <xdr:colOff>5219700</xdr:colOff>
      <xdr:row>52</xdr:row>
      <xdr:rowOff>175259</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31470" y="4870449"/>
          <a:ext cx="5774055" cy="5471160"/>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 with another function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Sales Tax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can also force additional calculations to be performed if a certain condition is met. Here we're going to evaluate a cell to see if Sales Tax should be charged, and calculate it if the condition is true.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86525"/>
            <a:ext cx="5295900" cy="596207"/>
            <a:chOff x="581211" y="7810500"/>
            <a:chExt cx="5261541" cy="596207"/>
          </a:xfrm>
        </xdr:grpSpPr>
        <xdr:sp macro="" textlink="">
          <xdr:nvSpPr>
            <xdr:cNvPr id="107" name="txt_Step"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8"/>
              <a:ext cx="484438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F33,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=IF(E33="Yes",F31*SalesTax,0)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where we set up SalesTax as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with a value of 0.0825. Our formula says If cell E33 equals Yes, then multiply cell F31 times SalesTax,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changing Yes to No in cell E33 to see the calculation change.</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658100"/>
            <a:ext cx="5229626" cy="596207"/>
            <a:chOff x="581211" y="7810500"/>
            <a:chExt cx="5195697" cy="596207"/>
          </a:xfrm>
        </xdr:grpSpPr>
        <xdr:sp macro="" textlink="">
          <xdr:nvSpPr>
            <xdr:cNvPr id="110" name="txt_Step" descr="Next we've added an IF statement to calculate shipping if it's required. In cell F35 you'll see =IF(E35=&quot;Yes&quot;,SUM(D28:D29)*1.25,0). This says &quot;If cell E35 is Yes, then take the sum of the Quantity column in the table above, and multiply it by 1.25, otherwise return a 0&quot;.&#10;">
              <a:extLst>
                <a:ext uri="{FF2B5EF4-FFF2-40B4-BE49-F238E27FC236}">
                  <a16:creationId xmlns:a16="http://schemas.microsoft.com/office/drawing/2014/main" id="{AEA982A9-56DB-413C-8C06-090FF22D1BCD}"/>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we've added an IF statement to calculate shipping if it's required. In cell F35 you'll see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=IF(E35="Yes",SUM(D28:D29)*1.25,0)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says "If cell E35 is Yes, then take the sum of the Quantity column in the table above, and multiply it by 1.25,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596207"/>
            <a:chOff x="581211" y="7810500"/>
            <a:chExt cx="5195697" cy="596207"/>
          </a:xfrm>
        </xdr:grpSpPr>
        <xdr:sp macro="" textlink="">
          <xdr:nvSpPr>
            <xdr:cNvPr id="113" name="txt_Step" descr="Next, change the 1.25 in the formula in cell F35 to &quot;Shipping&quot;.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change the 1.25 in the formula in cell F35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Shipping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As you start typing, Excel's auto-correct, should find it for you. When it does,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it. This is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we entered it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if you ever need to change your shipping cost, you only have to do it in one place, and you can use the Shipping name anywhere in the workbook.</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558800</xdr:colOff>
      <xdr:row>50</xdr:row>
      <xdr:rowOff>63500</xdr:rowOff>
    </xdr:from>
    <xdr:to>
      <xdr:col>1</xdr:col>
      <xdr:colOff>974109</xdr:colOff>
      <xdr:row>52</xdr:row>
      <xdr:rowOff>21759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3677722</xdr:colOff>
      <xdr:row>50</xdr:row>
      <xdr:rowOff>63500</xdr:rowOff>
    </xdr:from>
    <xdr:to>
      <xdr:col>1</xdr:col>
      <xdr:colOff>4973776</xdr:colOff>
      <xdr:row>52</xdr:row>
      <xdr:rowOff>21759</xdr:rowOff>
    </xdr:to>
    <xdr:sp macro="" textlink="">
      <xdr:nvSpPr>
        <xdr:cNvPr id="116"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367665</xdr:colOff>
      <xdr:row>53</xdr:row>
      <xdr:rowOff>99695</xdr:rowOff>
    </xdr:from>
    <xdr:to>
      <xdr:col>1</xdr:col>
      <xdr:colOff>5244338</xdr:colOff>
      <xdr:row>66</xdr:row>
      <xdr:rowOff>25400</xdr:rowOff>
    </xdr:to>
    <xdr:grpSp>
      <xdr:nvGrpSpPr>
        <xdr:cNvPr id="117" name="Group 116">
          <a:extLst>
            <a:ext uri="{FF2B5EF4-FFF2-40B4-BE49-F238E27FC236}">
              <a16:creationId xmlns:a16="http://schemas.microsoft.com/office/drawing/2014/main" id="{A4810020-C4C7-483B-BB90-6111CE7B8559}"/>
            </a:ext>
          </a:extLst>
        </xdr:cNvPr>
        <xdr:cNvGrpSpPr/>
      </xdr:nvGrpSpPr>
      <xdr:grpSpPr>
        <a:xfrm>
          <a:off x="370840" y="10447020"/>
          <a:ext cx="5762498" cy="2278380"/>
          <a:chOff x="352425" y="10715625"/>
          <a:chExt cx="5733288" cy="2390775"/>
        </a:xfrm>
      </xdr:grpSpPr>
      <xdr:sp macro="" textlink="">
        <xdr:nvSpPr>
          <xdr:cNvPr id="118" name="Rectangle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More information on the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C4B15DAA-8EC7-428E-B272-5E6947DC8294}"/>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descr="Decorative lin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descr="Decorative line">
            <a:extLst>
              <a:ext uri="{FF2B5EF4-FFF2-40B4-BE49-F238E27FC236}">
                <a16:creationId xmlns:a16="http://schemas.microsoft.com/office/drawing/2014/main" id="{C5EC57CE-9B46-46D7-8D21-0D9415D893AF}"/>
              </a:ext>
            </a:extLst>
          </xdr:cNvPr>
          <xdr:cNvCxnSpPr>
            <a:cxnSpLocks/>
          </xdr:cNvCxnSpPr>
        </xdr:nvCxnSpPr>
        <xdr:spPr>
          <a:xfrm>
            <a:off x="54440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descr="Decorative lin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557326</xdr:colOff>
      <xdr:row>56</xdr:row>
      <xdr:rowOff>73744</xdr:rowOff>
    </xdr:from>
    <xdr:to>
      <xdr:col>1</xdr:col>
      <xdr:colOff>2576195</xdr:colOff>
      <xdr:row>58</xdr:row>
      <xdr:rowOff>63253</xdr:rowOff>
    </xdr:to>
    <xdr:grpSp>
      <xdr:nvGrpSpPr>
        <xdr:cNvPr id="30" name="Group 29">
          <a:extLst>
            <a:ext uri="{FF2B5EF4-FFF2-40B4-BE49-F238E27FC236}">
              <a16:creationId xmlns:a16="http://schemas.microsoft.com/office/drawing/2014/main" id="{734055A1-8444-407E-B760-0BF685C60AE8}"/>
            </a:ext>
          </a:extLst>
        </xdr:cNvPr>
        <xdr:cNvGrpSpPr/>
      </xdr:nvGrpSpPr>
      <xdr:grpSpPr>
        <a:xfrm>
          <a:off x="560501" y="10960819"/>
          <a:ext cx="2904694" cy="354634"/>
          <a:chOff x="562406" y="11418019"/>
          <a:chExt cx="2866594" cy="359079"/>
        </a:xfrm>
      </xdr:grpSpPr>
      <xdr:sp macro="" textlink="">
        <xdr:nvSpPr>
          <xdr:cNvPr id="122" name="Step" descr="All about the IF function, Hyperlinked to web&#10;&#10;">
            <a:hlinkClick xmlns:r="http://schemas.openxmlformats.org/officeDocument/2006/relationships" r:id="rId11" tooltip="Select to learn all about the IF function on the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3" name="Graphic 22" descr="Arrow">
            <a:hlinkClick xmlns:r="http://schemas.openxmlformats.org/officeDocument/2006/relationships" r:id="rId11" tooltip="Select to learn more from the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557326</xdr:colOff>
      <xdr:row>58</xdr:row>
      <xdr:rowOff>62730</xdr:rowOff>
    </xdr:from>
    <xdr:to>
      <xdr:col>1</xdr:col>
      <xdr:colOff>2616200</xdr:colOff>
      <xdr:row>60</xdr:row>
      <xdr:rowOff>61359</xdr:rowOff>
    </xdr:to>
    <xdr:grpSp>
      <xdr:nvGrpSpPr>
        <xdr:cNvPr id="29" name="Group 28">
          <a:extLst>
            <a:ext uri="{FF2B5EF4-FFF2-40B4-BE49-F238E27FC236}">
              <a16:creationId xmlns:a16="http://schemas.microsoft.com/office/drawing/2014/main" id="{B13CA61E-C0BF-4685-82BB-1ADFEB7A3BE0}"/>
            </a:ext>
          </a:extLst>
        </xdr:cNvPr>
        <xdr:cNvGrpSpPr/>
      </xdr:nvGrpSpPr>
      <xdr:grpSpPr>
        <a:xfrm>
          <a:off x="560501" y="11314930"/>
          <a:ext cx="2944699" cy="360579"/>
          <a:chOff x="562406" y="11793085"/>
          <a:chExt cx="2895169" cy="364389"/>
        </a:xfrm>
      </xdr:grpSpPr>
      <xdr:sp macro="" textlink="">
        <xdr:nvSpPr>
          <xdr:cNvPr id="124" name="Step" descr="All about the IFS function, hyperlinked to web&#10;">
            <a:hlinkClick xmlns:r="http://schemas.openxmlformats.org/officeDocument/2006/relationships" r:id="rId14" tooltip="Select to learn all about the IFS function on the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5" name="Graphic 22" descr="Arrow">
            <a:hlinkClick xmlns:r="http://schemas.openxmlformats.org/officeDocument/2006/relationships" r:id="rId14" tooltip="Select to learn more from the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557326</xdr:colOff>
      <xdr:row>62</xdr:row>
      <xdr:rowOff>98728</xdr:rowOff>
    </xdr:from>
    <xdr:to>
      <xdr:col>1</xdr:col>
      <xdr:colOff>2231317</xdr:colOff>
      <xdr:row>64</xdr:row>
      <xdr:rowOff>96087</xdr:rowOff>
    </xdr:to>
    <xdr:grpSp>
      <xdr:nvGrpSpPr>
        <xdr:cNvPr id="20" name="Group 19">
          <a:extLst>
            <a:ext uri="{FF2B5EF4-FFF2-40B4-BE49-F238E27FC236}">
              <a16:creationId xmlns:a16="http://schemas.microsoft.com/office/drawing/2014/main" id="{0552D274-B7DD-441F-82AB-F9C18F3F1907}"/>
            </a:ext>
          </a:extLst>
        </xdr:cNvPr>
        <xdr:cNvGrpSpPr/>
      </xdr:nvGrpSpPr>
      <xdr:grpSpPr>
        <a:xfrm>
          <a:off x="560501" y="12074828"/>
          <a:ext cx="2556641" cy="356134"/>
          <a:chOff x="562406" y="12586003"/>
          <a:chExt cx="2516636" cy="364389"/>
        </a:xfrm>
      </xdr:grpSpPr>
      <xdr:sp macro="" textlink="">
        <xdr:nvSpPr>
          <xdr:cNvPr id="126" name="Step" descr="Free Excel training online, hyperlinked to web&#10;">
            <a:hlinkClick xmlns:r="http://schemas.openxmlformats.org/officeDocument/2006/relationships" r:id="rId15" tooltip="Select to learn Free Excel training online from the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27" name="Graphic 22" descr="Arrow">
            <a:hlinkClick xmlns:r="http://schemas.openxmlformats.org/officeDocument/2006/relationships" r:id="rId15" tooltip="Select to learn more from the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557326</xdr:colOff>
      <xdr:row>60</xdr:row>
      <xdr:rowOff>62106</xdr:rowOff>
    </xdr:from>
    <xdr:to>
      <xdr:col>1</xdr:col>
      <xdr:colOff>2616200</xdr:colOff>
      <xdr:row>62</xdr:row>
      <xdr:rowOff>60735</xdr:rowOff>
    </xdr:to>
    <xdr:grpSp>
      <xdr:nvGrpSpPr>
        <xdr:cNvPr id="25" name="Group 24">
          <a:extLst>
            <a:ext uri="{FF2B5EF4-FFF2-40B4-BE49-F238E27FC236}">
              <a16:creationId xmlns:a16="http://schemas.microsoft.com/office/drawing/2014/main" id="{F1DB9CDB-5B09-4600-8014-FE097D5CAA92}"/>
            </a:ext>
          </a:extLst>
        </xdr:cNvPr>
        <xdr:cNvGrpSpPr/>
      </xdr:nvGrpSpPr>
      <xdr:grpSpPr>
        <a:xfrm>
          <a:off x="560501" y="11676256"/>
          <a:ext cx="2944699" cy="360579"/>
          <a:chOff x="562406" y="12173461"/>
          <a:chExt cx="2895169" cy="364389"/>
        </a:xfrm>
      </xdr:grpSpPr>
      <xdr:sp macro="" textlink="">
        <xdr:nvSpPr>
          <xdr:cNvPr id="128" name="Step" descr="Advanced IF statements, hyperlinked to web&#10;">
            <a:hlinkClick xmlns:r="http://schemas.openxmlformats.org/officeDocument/2006/relationships" r:id="rId16" tooltip="Select to learn all about advanced IF statements on the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Advanced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statements</a:t>
            </a:r>
          </a:p>
        </xdr:txBody>
      </xdr:sp>
      <xdr:pic>
        <xdr:nvPicPr>
          <xdr:cNvPr id="129" name="Graphic 22" descr="Arrow">
            <a:hlinkClick xmlns:r="http://schemas.openxmlformats.org/officeDocument/2006/relationships" r:id="rId16" tooltip="Select to learn more from the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402865</xdr:colOff>
      <xdr:row>59</xdr:row>
      <xdr:rowOff>139424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stretch>
          <a:fill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5</xdr:row>
      <xdr:rowOff>23958</xdr:rowOff>
    </xdr:to>
    <xdr:sp macro="" textlink="">
      <xdr:nvSpPr>
        <xdr:cNvPr id="85" name="txt_TourIntro" descr="VLOOKUP is one of the most widely used functions in Excel (and one of our favo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106211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is one of the most widely used functions in Excel (and one of our favorites too!). VLOOKUP lets you look up a value in a column on the left, then returns information in another column to the right if it finds a match. VLOOKUP says: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561975</xdr:colOff>
      <xdr:row>19</xdr:row>
      <xdr:rowOff>166663</xdr:rowOff>
    </xdr:from>
    <xdr:to>
      <xdr:col>1</xdr:col>
      <xdr:colOff>4943876</xdr:colOff>
      <xdr:row>23</xdr:row>
      <xdr:rowOff>870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58800" y="4354488"/>
          <a:ext cx="5267726" cy="599382"/>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D22,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correct answer for Apples is 50. VLOOKUP looked for Apples, found it, then went over one column to the right, and returned the amount.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58800" y="5075213"/>
          <a:ext cx="5267726" cy="58985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try for yourself in the Meat section, in cell G22. You should end up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3679556</xdr:colOff>
      <xdr:row>27</xdr:row>
      <xdr:rowOff>177458</xdr:rowOff>
    </xdr:from>
    <xdr:to>
      <xdr:col>1</xdr:col>
      <xdr:colOff>4975046</xdr:colOff>
      <xdr:row>29</xdr:row>
      <xdr:rowOff>138257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333375</xdr:colOff>
      <xdr:row>59</xdr:row>
      <xdr:rowOff>123797</xdr:rowOff>
    </xdr:from>
    <xdr:to>
      <xdr:col>1</xdr:col>
      <xdr:colOff>5218938</xdr:colOff>
      <xdr:row>74</xdr:row>
      <xdr:rowOff>95251</xdr:rowOff>
    </xdr:to>
    <xdr:grpSp>
      <xdr:nvGrpSpPr>
        <xdr:cNvPr id="93" name="Group 92">
          <a:extLst>
            <a:ext uri="{FF2B5EF4-FFF2-40B4-BE49-F238E27FC236}">
              <a16:creationId xmlns:a16="http://schemas.microsoft.com/office/drawing/2014/main" id="{6AD4BB42-C99A-40EC-9E51-AFE390CD9507}"/>
            </a:ext>
          </a:extLst>
        </xdr:cNvPr>
        <xdr:cNvGrpSpPr/>
      </xdr:nvGrpSpPr>
      <xdr:grpSpPr>
        <a:xfrm>
          <a:off x="330200" y="11937972"/>
          <a:ext cx="5774563" cy="2825779"/>
          <a:chOff x="0" y="5524500"/>
          <a:chExt cx="5695950" cy="2828954"/>
        </a:xfrm>
      </xdr:grpSpPr>
      <xdr:sp macro="" textlink="">
        <xdr:nvSpPr>
          <xdr:cNvPr id="94" name="Rectangle 93">
            <a:extLst>
              <a:ext uri="{FF2B5EF4-FFF2-40B4-BE49-F238E27FC236}">
                <a16:creationId xmlns:a16="http://schemas.microsoft.com/office/drawing/2014/main" id="{CB220E95-575B-4BFE-A97A-4AFC50F13B21}"/>
              </a:ext>
            </a:extLst>
          </xdr:cNvPr>
          <xdr:cNvSpPr/>
        </xdr:nvSpPr>
        <xdr:spPr>
          <a:xfrm>
            <a:off x="0" y="5524500"/>
            <a:ext cx="5695950" cy="282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5" name="Step" descr="More information on the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Straight Connector 95" descr="Decorative line">
            <a:extLst>
              <a:ext uri="{FF2B5EF4-FFF2-40B4-BE49-F238E27FC236}">
                <a16:creationId xmlns:a16="http://schemas.microsoft.com/office/drawing/2014/main" id="{FC75038A-1A57-4810-A200-F441A155BA62}"/>
              </a:ext>
            </a:extLst>
          </xdr:cNvPr>
          <xdr:cNvCxnSpPr>
            <a:cxnSpLocks/>
          </xdr:cNvCxnSpPr>
        </xdr:nvCxnSpPr>
        <xdr:spPr>
          <a:xfrm>
            <a:off x="233234" y="603211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descr="Decorative line">
            <a:extLst>
              <a:ext uri="{FF2B5EF4-FFF2-40B4-BE49-F238E27FC236}">
                <a16:creationId xmlns:a16="http://schemas.microsoft.com/office/drawing/2014/main" id="{EAFBA7B8-06DC-4A15-A998-B588F058D108}"/>
              </a:ext>
            </a:extLst>
          </xdr:cNvPr>
          <xdr:cNvCxnSpPr>
            <a:cxnSpLocks/>
          </xdr:cNvCxnSpPr>
        </xdr:nvCxnSpPr>
        <xdr:spPr>
          <a:xfrm>
            <a:off x="233234" y="81409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62</xdr:row>
      <xdr:rowOff>111816</xdr:rowOff>
    </xdr:from>
    <xdr:to>
      <xdr:col>1</xdr:col>
      <xdr:colOff>2581275</xdr:colOff>
      <xdr:row>64</xdr:row>
      <xdr:rowOff>89895</xdr:rowOff>
    </xdr:to>
    <xdr:grpSp>
      <xdr:nvGrpSpPr>
        <xdr:cNvPr id="17" name="Group 16">
          <a:extLst>
            <a:ext uri="{FF2B5EF4-FFF2-40B4-BE49-F238E27FC236}">
              <a16:creationId xmlns:a16="http://schemas.microsoft.com/office/drawing/2014/main" id="{AA259A6F-5BA1-4BA7-97B7-539D915D1A18}"/>
            </a:ext>
          </a:extLst>
        </xdr:cNvPr>
        <xdr:cNvGrpSpPr/>
      </xdr:nvGrpSpPr>
      <xdr:grpSpPr>
        <a:xfrm>
          <a:off x="559231" y="12494316"/>
          <a:ext cx="2904694" cy="355904"/>
          <a:chOff x="562406" y="12494316"/>
          <a:chExt cx="2866594" cy="359079"/>
        </a:xfrm>
      </xdr:grpSpPr>
      <xdr:sp macro="" textlink="">
        <xdr:nvSpPr>
          <xdr:cNvPr id="98" name="Step" descr="All about the VLOOKUP function, Hyperlinked to web&#10;&#10;">
            <a:hlinkClick xmlns:r="http://schemas.openxmlformats.org/officeDocument/2006/relationships" r:id="rId2" tooltip="Select to learn all about the VLOOKUP function on the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99" name="Graphic 22" descr="Arrow">
            <a:hlinkClick xmlns:r="http://schemas.openxmlformats.org/officeDocument/2006/relationships" r:id="rId2" tooltip="Select to learn more from the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64</xdr:row>
      <xdr:rowOff>117437</xdr:rowOff>
    </xdr:from>
    <xdr:to>
      <xdr:col>1</xdr:col>
      <xdr:colOff>2990850</xdr:colOff>
      <xdr:row>66</xdr:row>
      <xdr:rowOff>100826</xdr:rowOff>
    </xdr:to>
    <xdr:grpSp>
      <xdr:nvGrpSpPr>
        <xdr:cNvPr id="16" name="Group 15">
          <a:extLst>
            <a:ext uri="{FF2B5EF4-FFF2-40B4-BE49-F238E27FC236}">
              <a16:creationId xmlns:a16="http://schemas.microsoft.com/office/drawing/2014/main" id="{79235089-8072-43CC-BE8C-67B41C2F383F}"/>
            </a:ext>
          </a:extLst>
        </xdr:cNvPr>
        <xdr:cNvGrpSpPr/>
      </xdr:nvGrpSpPr>
      <xdr:grpSpPr>
        <a:xfrm>
          <a:off x="559231" y="12880937"/>
          <a:ext cx="3317444" cy="367564"/>
          <a:chOff x="562406" y="12880937"/>
          <a:chExt cx="3276169" cy="364389"/>
        </a:xfrm>
      </xdr:grpSpPr>
      <xdr:sp macro="" textlink="">
        <xdr:nvSpPr>
          <xdr:cNvPr id="100" name="Step" descr="All about the INDEX/MATCH functions, hyperlinked to web&#10;">
            <a:hlinkClick xmlns:r="http://schemas.openxmlformats.org/officeDocument/2006/relationships" r:id="rId5" tooltip="Select to learn all about the INDEX/MATCH functions on the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functions</a:t>
            </a:r>
          </a:p>
        </xdr:txBody>
      </xdr:sp>
      <xdr:pic>
        <xdr:nvPicPr>
          <xdr:cNvPr id="101" name="Graphic 22" descr="Arrow">
            <a:hlinkClick xmlns:r="http://schemas.openxmlformats.org/officeDocument/2006/relationships" r:id="rId5" tooltip="Select to learn more from the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70</xdr:row>
      <xdr:rowOff>165375</xdr:rowOff>
    </xdr:from>
    <xdr:to>
      <xdr:col>1</xdr:col>
      <xdr:colOff>2231317</xdr:colOff>
      <xdr:row>72</xdr:row>
      <xdr:rowOff>148764</xdr:rowOff>
    </xdr:to>
    <xdr:grpSp>
      <xdr:nvGrpSpPr>
        <xdr:cNvPr id="6" name="Group 5">
          <a:extLst>
            <a:ext uri="{FF2B5EF4-FFF2-40B4-BE49-F238E27FC236}">
              <a16:creationId xmlns:a16="http://schemas.microsoft.com/office/drawing/2014/main" id="{5C999AAF-BC52-4D03-84CC-9A10F67B8111}"/>
            </a:ext>
          </a:extLst>
        </xdr:cNvPr>
        <xdr:cNvGrpSpPr/>
      </xdr:nvGrpSpPr>
      <xdr:grpSpPr>
        <a:xfrm>
          <a:off x="559231" y="14068700"/>
          <a:ext cx="2557911" cy="364389"/>
          <a:chOff x="562406" y="14071875"/>
          <a:chExt cx="2516636" cy="364389"/>
        </a:xfrm>
      </xdr:grpSpPr>
      <xdr:sp macro="" textlink="">
        <xdr:nvSpPr>
          <xdr:cNvPr id="102" name="Step" descr="Free Excel training online, hyperlinked to web&#10;">
            <a:hlinkClick xmlns:r="http://schemas.openxmlformats.org/officeDocument/2006/relationships" r:id="rId6" tooltip="Select to learn about free Excel training on the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03" name="Graphic 22" descr="Arrow">
            <a:hlinkClick xmlns:r="http://schemas.openxmlformats.org/officeDocument/2006/relationships" r:id="rId6" tooltip="Select to learn more from the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66</xdr:row>
      <xdr:rowOff>128368</xdr:rowOff>
    </xdr:from>
    <xdr:to>
      <xdr:col>1</xdr:col>
      <xdr:colOff>2609850</xdr:colOff>
      <xdr:row>68</xdr:row>
      <xdr:rowOff>111757</xdr:rowOff>
    </xdr:to>
    <xdr:grpSp>
      <xdr:nvGrpSpPr>
        <xdr:cNvPr id="8" name="Group 7">
          <a:extLst>
            <a:ext uri="{FF2B5EF4-FFF2-40B4-BE49-F238E27FC236}">
              <a16:creationId xmlns:a16="http://schemas.microsoft.com/office/drawing/2014/main" id="{F2122903-3464-4677-84BC-66087719FF0D}"/>
            </a:ext>
          </a:extLst>
        </xdr:cNvPr>
        <xdr:cNvGrpSpPr/>
      </xdr:nvGrpSpPr>
      <xdr:grpSpPr>
        <a:xfrm>
          <a:off x="559231" y="13269693"/>
          <a:ext cx="2936444" cy="367564"/>
          <a:chOff x="562406" y="13272868"/>
          <a:chExt cx="2895169" cy="364389"/>
        </a:xfrm>
      </xdr:grpSpPr>
      <xdr:sp macro="" textlink="">
        <xdr:nvSpPr>
          <xdr:cNvPr id="104" name="Step" descr="All about the IFERROR function, hyperlinked to web&#10;">
            <a:hlinkClick xmlns:r="http://schemas.openxmlformats.org/officeDocument/2006/relationships" r:id="rId7" tooltip="Select to learn all about the IFERROR function on the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5" name="Graphic 22" descr="Arrow">
            <a:hlinkClick xmlns:r="http://schemas.openxmlformats.org/officeDocument/2006/relationships" r:id="rId7" tooltip="Select to learn more from the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68</xdr:row>
      <xdr:rowOff>139299</xdr:rowOff>
    </xdr:from>
    <xdr:to>
      <xdr:col>1</xdr:col>
      <xdr:colOff>3190874</xdr:colOff>
      <xdr:row>70</xdr:row>
      <xdr:rowOff>122688</xdr:rowOff>
    </xdr:to>
    <xdr:grpSp>
      <xdr:nvGrpSpPr>
        <xdr:cNvPr id="7" name="Group 6">
          <a:extLst>
            <a:ext uri="{FF2B5EF4-FFF2-40B4-BE49-F238E27FC236}">
              <a16:creationId xmlns:a16="http://schemas.microsoft.com/office/drawing/2014/main" id="{56B2B91D-B542-499E-8788-299E4FFAC823}"/>
            </a:ext>
          </a:extLst>
        </xdr:cNvPr>
        <xdr:cNvGrpSpPr/>
      </xdr:nvGrpSpPr>
      <xdr:grpSpPr>
        <a:xfrm>
          <a:off x="559231" y="13667974"/>
          <a:ext cx="3520643" cy="364389"/>
          <a:chOff x="562406" y="13664799"/>
          <a:chExt cx="3476193" cy="364389"/>
        </a:xfrm>
      </xdr:grpSpPr>
      <xdr:sp macro="" textlink="">
        <xdr:nvSpPr>
          <xdr:cNvPr id="106" name="Step" descr="Use PivotTables to analyze worksheet data&#10;">
            <a:hlinkClick xmlns:r="http://schemas.openxmlformats.org/officeDocument/2006/relationships" r:id="rId8" tooltip="Select to learn all about creating a PivotTable to analyze worksheet data on the web"/>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analyze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worksheet data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phic 22" descr="Arrow">
            <a:hlinkClick xmlns:r="http://schemas.openxmlformats.org/officeDocument/2006/relationships" r:id="rId8" tooltip="Select to learn more from the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668020</xdr:colOff>
      <xdr:row>27</xdr:row>
      <xdr:rowOff>177458</xdr:rowOff>
    </xdr:from>
    <xdr:to>
      <xdr:col>1</xdr:col>
      <xdr:colOff>2578087</xdr:colOff>
      <xdr:row>30</xdr:row>
      <xdr:rowOff>135295</xdr:rowOff>
    </xdr:to>
    <xdr:sp macro="" textlink="">
      <xdr:nvSpPr>
        <xdr:cNvPr id="116" name="btn_DeepDive" descr="Dive down for more detail">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0200" y="6642072"/>
          <a:ext cx="5775325" cy="5207000"/>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and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19288" y="732001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Invariably, you'll run into a situation where VLOOKUP can't find what you asked it to, and it returns an error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Sometimes, it's because the lookup value simply doesn't exist, or it can because the reference cell doesn't have a value yet.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8020022"/>
            <a:ext cx="5353050" cy="596207"/>
            <a:chOff x="562285" y="7734300"/>
            <a:chExt cx="5318320" cy="596207"/>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know your lookup value exists, but want to hide the error if the lookup cell is blank, you can use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statement. In this case, we'll wrap our existing VLOOKUP formula like this in cell D43:</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This says, "If cell C43 equals nothing (""), then return nothing, otherwise return the VLOOKUP's results". Note the second closing parenthesis at the end of the formula. This closes the IF statement.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848822"/>
            <a:ext cx="5229624" cy="643832"/>
            <a:chOff x="11201400" y="3619500"/>
            <a:chExt cx="5229624" cy="643832"/>
          </a:xfrm>
        </xdr:grpSpPr>
        <xdr:sp macro="" textlink="">
          <xdr:nvSpPr>
            <xdr:cNvPr id="125" name="txt_Step" descr="If you're not sure your lookup value exists, but you still want to suppress the #N/A error, you can use an error handling function called IFERROR in cell G43: =IFERROR(VLOOKUP(F43,F37:G41,2,FALSE),&quot;&quot;). IFERROR says if the VLOOKUP returns a valid result, then display that, otherwise, display nothing (&quot;&quot;). We displayed nothing here (&quot;&quot;), but you can also use numbers (0,1, 2, etc.), or text, such as &quot;Formula isn't correct&quot;.&#10;&#10;">
              <a:extLst>
                <a:ext uri="{FF2B5EF4-FFF2-40B4-BE49-F238E27FC236}">
                  <a16:creationId xmlns:a16="http://schemas.microsoft.com/office/drawing/2014/main" id="{250F4D35-4886-4A69-B7A9-2E3BC66C4614}"/>
                </a:ext>
              </a:extLst>
            </xdr:cNvPr>
            <xdr:cNvSpPr txBox="1"/>
          </xdr:nvSpPr>
          <xdr:spPr>
            <a:xfrm>
              <a:off x="11621281" y="370908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you're not sure your lookup value exists, but you still want to suppress the #N/A error, you can use an error handling function called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G43: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says, "If the VLOOKUP returns a valid result, then display that, otherwise, display nothing ("")". We displayed nothing here (""), but you can also use numbers (0,1, 2, etc.), or text, such as "Formula isn't correct".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175867</xdr:rowOff>
    </xdr:from>
    <xdr:to>
      <xdr:col>1</xdr:col>
      <xdr:colOff>1012915</xdr:colOff>
      <xdr:row>58</xdr:row>
      <xdr:rowOff>136666</xdr:rowOff>
    </xdr:to>
    <xdr:sp macro="" textlink="">
      <xdr:nvSpPr>
        <xdr:cNvPr id="129"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3683366</xdr:colOff>
      <xdr:row>56</xdr:row>
      <xdr:rowOff>175867</xdr:rowOff>
    </xdr:from>
    <xdr:to>
      <xdr:col>1</xdr:col>
      <xdr:colOff>4935676</xdr:colOff>
      <xdr:row>58</xdr:row>
      <xdr:rowOff>136666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438786</xdr:colOff>
      <xdr:row>43</xdr:row>
      <xdr:rowOff>76208</xdr:rowOff>
    </xdr:from>
    <xdr:to>
      <xdr:col>9</xdr:col>
      <xdr:colOff>287021</xdr:colOff>
      <xdr:row>52</xdr:row>
      <xdr:rowOff>137806</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8049261" y="8839208"/>
          <a:ext cx="4048760" cy="1779273"/>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IFERROR</a:t>
            </a:r>
            <a:r>
              <a:rPr lang="en-US" sz="1100" b="0" i="0" kern="1200" baseline="0">
                <a:solidFill>
                  <a:schemeClr val="dk1"/>
                </a:solidFill>
                <a:effectLst/>
                <a:latin typeface="+mn-lt"/>
                <a:ea typeface="+mn-ea"/>
                <a:cs typeface="+mn-cs"/>
              </a:rPr>
              <a:t> is what's known as a blanket error handler, meaning it will suppress any error your formula might throw. This can cause problems if Excel is giving you a notification that your formula has a legitimate error that needs to be fixed.</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 rule of thumb is to not add error handlers to your formulas until you're absolutely certain they work properly.</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989019" y="1784330"/>
          <a:ext cx="3756025" cy="2520541"/>
          <a:chOff x="2943225" y="1476375"/>
          <a:chExt cx="3762375" cy="252371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do you want to look for?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If you find it, how many columns to the right do you want to get a value?</a:t>
            </a: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Where do you want to look for it?</a:t>
            </a: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Do you want an exact, or approximate match?</a:t>
            </a:r>
          </a:p>
        </xdr:txBody>
      </xdr:sp>
    </xdr:grpSp>
    <xdr:clientData/>
  </xdr:twoCellAnchor>
  <xdr:twoCellAnchor>
    <xdr:from>
      <xdr:col>2</xdr:col>
      <xdr:colOff>896859</xdr:colOff>
      <xdr:row>22</xdr:row>
      <xdr:rowOff>66674</xdr:rowOff>
    </xdr:from>
    <xdr:to>
      <xdr:col>8</xdr:col>
      <xdr:colOff>469388</xdr:colOff>
      <xdr:row>28</xdr:row>
      <xdr:rowOff>146779</xdr:rowOff>
    </xdr:to>
    <xdr:grpSp>
      <xdr:nvGrpSpPr>
        <xdr:cNvPr id="4" name="Group 3">
          <a:extLst>
            <a:ext uri="{FF2B5EF4-FFF2-40B4-BE49-F238E27FC236}">
              <a16:creationId xmlns:a16="http://schemas.microsoft.com/office/drawing/2014/main" id="{089FFE6E-D9A5-469F-8731-5F616E56C80F}"/>
            </a:ext>
          </a:extLst>
        </xdr:cNvPr>
        <xdr:cNvGrpSpPr/>
      </xdr:nvGrpSpPr>
      <xdr:grpSpPr>
        <a:xfrm>
          <a:off x="7573884" y="4832349"/>
          <a:ext cx="4084204" cy="1216755"/>
          <a:chOff x="7726284" y="4829174"/>
          <a:chExt cx="4158817" cy="1223105"/>
        </a:xfrm>
      </xdr:grpSpPr>
      <xdr:grpSp>
        <xdr:nvGrpSpPr>
          <xdr:cNvPr id="108" name="Gro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tep"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Try selecting</a:t>
              </a:r>
              <a:r>
                <a:rPr lang="en-US" sz="1100" kern="0" baseline="0">
                  <a:solidFill>
                    <a:schemeClr val="bg2">
                      <a:lumMod val="25000"/>
                    </a:schemeClr>
                  </a:solidFill>
                  <a:latin typeface="+mn-lt"/>
                  <a:ea typeface="Segoe UI" pitchFamily="34" charset="0"/>
                  <a:cs typeface="Segoe UI Light" panose="020B0502040204020203" pitchFamily="34" charset="0"/>
                </a:rPr>
                <a:t> different items from the drop 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FormulaBraceLowe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re done,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21</xdr:col>
      <xdr:colOff>59055</xdr:colOff>
      <xdr:row>75</xdr:row>
      <xdr:rowOff>38100</xdr:rowOff>
    </xdr:from>
    <xdr:to>
      <xdr:col>35</xdr:col>
      <xdr:colOff>402590</xdr:colOff>
      <xdr:row>84</xdr:row>
      <xdr:rowOff>175450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19804380" y="14554200"/>
          <a:ext cx="3439160" cy="1769300"/>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361314</xdr:colOff>
      <xdr:row>131</xdr:row>
      <xdr:rowOff>19686</xdr:rowOff>
    </xdr:from>
    <xdr:to>
      <xdr:col>1</xdr:col>
      <xdr:colOff>5238114</xdr:colOff>
      <xdr:row>151</xdr:row>
      <xdr:rowOff>137931</xdr:rowOff>
    </xdr:to>
    <xdr:grpSp>
      <xdr:nvGrpSpPr>
        <xdr:cNvPr id="2" name="Group 1">
          <a:extLst>
            <a:ext uri="{FF2B5EF4-FFF2-40B4-BE49-F238E27FC236}">
              <a16:creationId xmlns:a16="http://schemas.microsoft.com/office/drawing/2014/main" id="{F31110CC-1652-426F-8A11-3D24DC9CD3D1}"/>
            </a:ext>
          </a:extLst>
        </xdr:cNvPr>
        <xdr:cNvGrpSpPr/>
      </xdr:nvGrpSpPr>
      <xdr:grpSpPr>
        <a:xfrm>
          <a:off x="361314" y="24832311"/>
          <a:ext cx="5762625" cy="3740920"/>
          <a:chOff x="447674" y="25631776"/>
          <a:chExt cx="5724525" cy="3762374"/>
        </a:xfrm>
      </xdr:grpSpPr>
      <xdr:sp macro="" textlink="">
        <xdr:nvSpPr>
          <xdr:cNvPr id="152" name="Rectangle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5" name="Step" descr="More information on the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Straight Connector 157" descr="Decorative lin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363855</xdr:rowOff>
    </xdr:from>
    <xdr:to>
      <xdr:col>1</xdr:col>
      <xdr:colOff>5240655</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555321</xdr:colOff>
      <xdr:row>2</xdr:row>
      <xdr:rowOff>57785</xdr:rowOff>
    </xdr:from>
    <xdr:to>
      <xdr:col>1</xdr:col>
      <xdr:colOff>4943144</xdr:colOff>
      <xdr:row>2</xdr:row>
      <xdr:rowOff>57785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555321</xdr:colOff>
      <xdr:row>0</xdr:row>
      <xdr:rowOff>438785</xdr:rowOff>
    </xdr:from>
    <xdr:to>
      <xdr:col>1</xdr:col>
      <xdr:colOff>4951420</xdr:colOff>
      <xdr:row>1</xdr:row>
      <xdr:rowOff>174057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twoCellAnchor>
  <xdr:twoCellAnchor editAs="absolute">
    <xdr:from>
      <xdr:col>0</xdr:col>
      <xdr:colOff>555321</xdr:colOff>
      <xdr:row>40</xdr:row>
      <xdr:rowOff>176107</xdr:rowOff>
    </xdr:from>
    <xdr:to>
      <xdr:col>1</xdr:col>
      <xdr:colOff>4943144</xdr:colOff>
      <xdr:row>40</xdr:row>
      <xdr:rowOff>176107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59690</xdr:rowOff>
    </xdr:from>
    <xdr:to>
      <xdr:col>1</xdr:col>
      <xdr:colOff>5019633</xdr:colOff>
      <xdr:row>3</xdr:row>
      <xdr:rowOff>116822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US"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6</xdr:row>
      <xdr:rowOff>59690</xdr:rowOff>
    </xdr:from>
    <xdr:to>
      <xdr:col>1</xdr:col>
      <xdr:colOff>4953401</xdr:colOff>
      <xdr:row>9</xdr:row>
      <xdr:rowOff>86937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71500" y="1774190"/>
          <a:ext cx="5267726" cy="595572"/>
          <a:chOff x="619125" y="1771650"/>
          <a:chExt cx="5220101" cy="596207"/>
        </a:xfrm>
      </xdr:grpSpPr>
      <xdr:sp macro="" textlink="">
        <xdr:nvSpPr>
          <xdr:cNvPr id="174"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specifc criteria you look for in another range, like how many Apples you have. Select cell D17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3754756</xdr:colOff>
      <xdr:row>41</xdr:row>
      <xdr:rowOff>138641</xdr:rowOff>
    </xdr:from>
    <xdr:to>
      <xdr:col>1</xdr:col>
      <xdr:colOff>4898959</xdr:colOff>
      <xdr:row>43</xdr:row>
      <xdr:rowOff>98730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962214</xdr:colOff>
      <xdr:row>148</xdr:row>
      <xdr:rowOff>23776</xdr:rowOff>
    </xdr:from>
    <xdr:to>
      <xdr:col>1</xdr:col>
      <xdr:colOff>3717897</xdr:colOff>
      <xdr:row>150</xdr:row>
      <xdr:rowOff>172929</xdr:rowOff>
    </xdr:to>
    <xdr:sp macro="" textlink="">
      <xdr:nvSpPr>
        <xdr:cNvPr id="177"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F1F17ADA-3374-4672-8F57-B7354AE50F61}"/>
            </a:ext>
          </a:extLst>
        </xdr:cNvPr>
        <xdr:cNvSpPr/>
      </xdr:nvSpPr>
      <xdr:spPr>
        <a:xfrm>
          <a:off x="1804859" y="2885277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lientData/>
  </xdr:twoCellAnchor>
  <xdr:twoCellAnchor editAs="absolute">
    <xdr:from>
      <xdr:col>1</xdr:col>
      <xdr:colOff>2877980</xdr:colOff>
      <xdr:row>144</xdr:row>
      <xdr:rowOff>94348</xdr:rowOff>
    </xdr:from>
    <xdr:to>
      <xdr:col>1</xdr:col>
      <xdr:colOff>4745787</xdr:colOff>
      <xdr:row>146</xdr:row>
      <xdr:rowOff>22436</xdr:rowOff>
    </xdr:to>
    <xdr:sp macro="" textlink="">
      <xdr:nvSpPr>
        <xdr:cNvPr id="179"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twoCellAnchor>
  <xdr:twoCellAnchor editAs="absolute">
    <xdr:from>
      <xdr:col>1</xdr:col>
      <xdr:colOff>2421686</xdr:colOff>
      <xdr:row>144</xdr:row>
      <xdr:rowOff>25921</xdr:rowOff>
    </xdr:from>
    <xdr:to>
      <xdr:col>1</xdr:col>
      <xdr:colOff>2913878</xdr:colOff>
      <xdr:row>146</xdr:row>
      <xdr:rowOff>99753</xdr:rowOff>
    </xdr:to>
    <xdr:pic>
      <xdr:nvPicPr>
        <xdr:cNvPr id="180" name="Graphic 22" descr="Arrow">
          <a:hlinkClick xmlns:r="http://schemas.openxmlformats.org/officeDocument/2006/relationships" r:id="rId5" tooltip="Select to learn more from the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twoCellAnchor>
  <xdr:twoCellAnchor editAs="absolute">
    <xdr:from>
      <xdr:col>1</xdr:col>
      <xdr:colOff>2877981</xdr:colOff>
      <xdr:row>142</xdr:row>
      <xdr:rowOff>21195</xdr:rowOff>
    </xdr:from>
    <xdr:to>
      <xdr:col>1</xdr:col>
      <xdr:colOff>5145305</xdr:colOff>
      <xdr:row>143</xdr:row>
      <xdr:rowOff>137521</xdr:rowOff>
    </xdr:to>
    <xdr:sp macro="" textlink="">
      <xdr:nvSpPr>
        <xdr:cNvPr id="181"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141</xdr:row>
      <xdr:rowOff>134656</xdr:rowOff>
    </xdr:from>
    <xdr:to>
      <xdr:col>1</xdr:col>
      <xdr:colOff>2913878</xdr:colOff>
      <xdr:row>144</xdr:row>
      <xdr:rowOff>22790</xdr:rowOff>
    </xdr:to>
    <xdr:pic>
      <xdr:nvPicPr>
        <xdr:cNvPr id="182" name="Graphic 22" descr="Arrow">
          <a:hlinkClick xmlns:r="http://schemas.openxmlformats.org/officeDocument/2006/relationships" r:id="rId8" tooltip="Select to learn more from the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twoCellAnchor>
  <xdr:twoCellAnchor editAs="absolute">
    <xdr:from>
      <xdr:col>1</xdr:col>
      <xdr:colOff>2877981</xdr:colOff>
      <xdr:row>139</xdr:row>
      <xdr:rowOff>161848</xdr:rowOff>
    </xdr:from>
    <xdr:to>
      <xdr:col>1</xdr:col>
      <xdr:colOff>5358447</xdr:colOff>
      <xdr:row>141</xdr:row>
      <xdr:rowOff>101644</xdr:rowOff>
    </xdr:to>
    <xdr:sp macro="" textlink="">
      <xdr:nvSpPr>
        <xdr:cNvPr id="183"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5979CD87-1D2E-4D32-BF44-CE7F4285B79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139</xdr:row>
      <xdr:rowOff>98779</xdr:rowOff>
    </xdr:from>
    <xdr:to>
      <xdr:col>1</xdr:col>
      <xdr:colOff>2913878</xdr:colOff>
      <xdr:row>141</xdr:row>
      <xdr:rowOff>164713</xdr:rowOff>
    </xdr:to>
    <xdr:pic>
      <xdr:nvPicPr>
        <xdr:cNvPr id="184" name="Graphic 22" descr="Arrow">
          <a:hlinkClick xmlns:r="http://schemas.openxmlformats.org/officeDocument/2006/relationships" r:id="rId9" tooltip="Select to learn more from the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twoCellAnchor>
  <xdr:twoCellAnchor editAs="absolute">
    <xdr:from>
      <xdr:col>1</xdr:col>
      <xdr:colOff>99856</xdr:colOff>
      <xdr:row>139</xdr:row>
      <xdr:rowOff>161848</xdr:rowOff>
    </xdr:from>
    <xdr:to>
      <xdr:col>1</xdr:col>
      <xdr:colOff>2462225</xdr:colOff>
      <xdr:row>141</xdr:row>
      <xdr:rowOff>101644</xdr:rowOff>
    </xdr:to>
    <xdr:sp macro="" textlink="">
      <xdr:nvSpPr>
        <xdr:cNvPr id="185"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139</xdr:row>
      <xdr:rowOff>101477</xdr:rowOff>
    </xdr:from>
    <xdr:to>
      <xdr:col>1</xdr:col>
      <xdr:colOff>135753</xdr:colOff>
      <xdr:row>141</xdr:row>
      <xdr:rowOff>161061</xdr:rowOff>
    </xdr:to>
    <xdr:pic>
      <xdr:nvPicPr>
        <xdr:cNvPr id="186" name="Graphic 22" descr="Arrow">
          <a:hlinkClick xmlns:r="http://schemas.openxmlformats.org/officeDocument/2006/relationships" r:id="rId10" tooltip="Select to learn more from the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twoCellAnchor>
  <xdr:twoCellAnchor editAs="absolute">
    <xdr:from>
      <xdr:col>1</xdr:col>
      <xdr:colOff>99855</xdr:colOff>
      <xdr:row>142</xdr:row>
      <xdr:rowOff>21195</xdr:rowOff>
    </xdr:from>
    <xdr:to>
      <xdr:col>1</xdr:col>
      <xdr:colOff>2270086</xdr:colOff>
      <xdr:row>143</xdr:row>
      <xdr:rowOff>137521</xdr:rowOff>
    </xdr:to>
    <xdr:sp macro="" textlink="">
      <xdr:nvSpPr>
        <xdr:cNvPr id="187"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141</xdr:row>
      <xdr:rowOff>137751</xdr:rowOff>
    </xdr:from>
    <xdr:to>
      <xdr:col>1</xdr:col>
      <xdr:colOff>135753</xdr:colOff>
      <xdr:row>144</xdr:row>
      <xdr:rowOff>24615</xdr:rowOff>
    </xdr:to>
    <xdr:pic>
      <xdr:nvPicPr>
        <xdr:cNvPr id="188" name="Graphic 22" descr="Arrow">
          <a:hlinkClick xmlns:r="http://schemas.openxmlformats.org/officeDocument/2006/relationships" r:id="rId11" tooltip="Select to learn more from the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twoCellAnchor>
  <xdr:twoCellAnchor editAs="absolute">
    <xdr:from>
      <xdr:col>1</xdr:col>
      <xdr:colOff>2877981</xdr:colOff>
      <xdr:row>137</xdr:row>
      <xdr:rowOff>113905</xdr:rowOff>
    </xdr:from>
    <xdr:to>
      <xdr:col>1</xdr:col>
      <xdr:colOff>5204695</xdr:colOff>
      <xdr:row>139</xdr:row>
      <xdr:rowOff>62591</xdr:rowOff>
    </xdr:to>
    <xdr:sp macro="" textlink="">
      <xdr:nvSpPr>
        <xdr:cNvPr id="189"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EADD320D-BECB-4510-A526-402BC7B8CE52}"/>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137</xdr:row>
      <xdr:rowOff>59726</xdr:rowOff>
    </xdr:from>
    <xdr:to>
      <xdr:col>1</xdr:col>
      <xdr:colOff>2913878</xdr:colOff>
      <xdr:row>139</xdr:row>
      <xdr:rowOff>115500</xdr:rowOff>
    </xdr:to>
    <xdr:pic>
      <xdr:nvPicPr>
        <xdr:cNvPr id="190" name="Graphic 22" descr="Arrow">
          <a:hlinkClick xmlns:r="http://schemas.openxmlformats.org/officeDocument/2006/relationships" r:id="rId12" tooltip="Select to learn more from the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twoCellAnchor>
  <xdr:twoCellAnchor editAs="absolute">
    <xdr:from>
      <xdr:col>1</xdr:col>
      <xdr:colOff>2877981</xdr:colOff>
      <xdr:row>135</xdr:row>
      <xdr:rowOff>64058</xdr:rowOff>
    </xdr:from>
    <xdr:to>
      <xdr:col>1</xdr:col>
      <xdr:colOff>5051530</xdr:colOff>
      <xdr:row>136</xdr:row>
      <xdr:rowOff>172764</xdr:rowOff>
    </xdr:to>
    <xdr:sp macro="" textlink="">
      <xdr:nvSpPr>
        <xdr:cNvPr id="191"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2421686</xdr:colOff>
      <xdr:row>135</xdr:row>
      <xdr:rowOff>2259</xdr:rowOff>
    </xdr:from>
    <xdr:to>
      <xdr:col>1</xdr:col>
      <xdr:colOff>2913878</xdr:colOff>
      <xdr:row>137</xdr:row>
      <xdr:rowOff>59303</xdr:rowOff>
    </xdr:to>
    <xdr:pic>
      <xdr:nvPicPr>
        <xdr:cNvPr id="192" name="Graphic 22" descr="Arrow">
          <a:hlinkClick xmlns:r="http://schemas.openxmlformats.org/officeDocument/2006/relationships" r:id="rId13" tooltip="Select to learn more from the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twoCellAnchor>
  <xdr:twoCellAnchor editAs="absolute">
    <xdr:from>
      <xdr:col>1</xdr:col>
      <xdr:colOff>99856</xdr:colOff>
      <xdr:row>135</xdr:row>
      <xdr:rowOff>64058</xdr:rowOff>
    </xdr:from>
    <xdr:to>
      <xdr:col>1</xdr:col>
      <xdr:colOff>2155214</xdr:colOff>
      <xdr:row>136</xdr:row>
      <xdr:rowOff>172764</xdr:rowOff>
    </xdr:to>
    <xdr:sp macro="" textlink="">
      <xdr:nvSpPr>
        <xdr:cNvPr id="193"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135</xdr:row>
      <xdr:rowOff>2259</xdr:rowOff>
    </xdr:from>
    <xdr:to>
      <xdr:col>1</xdr:col>
      <xdr:colOff>135753</xdr:colOff>
      <xdr:row>137</xdr:row>
      <xdr:rowOff>59303</xdr:rowOff>
    </xdr:to>
    <xdr:pic>
      <xdr:nvPicPr>
        <xdr:cNvPr id="194" name="Graphic 22" descr="Arrow">
          <a:hlinkClick xmlns:r="http://schemas.openxmlformats.org/officeDocument/2006/relationships" r:id="rId14" tooltip="Select to learn more from the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twoCellAnchor>
  <xdr:twoCellAnchor editAs="absolute">
    <xdr:from>
      <xdr:col>1</xdr:col>
      <xdr:colOff>99856</xdr:colOff>
      <xdr:row>137</xdr:row>
      <xdr:rowOff>113905</xdr:rowOff>
    </xdr:from>
    <xdr:to>
      <xdr:col>1</xdr:col>
      <xdr:colOff>2308474</xdr:colOff>
      <xdr:row>139</xdr:row>
      <xdr:rowOff>62591</xdr:rowOff>
    </xdr:to>
    <xdr:sp macro="" textlink="">
      <xdr:nvSpPr>
        <xdr:cNvPr id="195"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477316</xdr:colOff>
      <xdr:row>137</xdr:row>
      <xdr:rowOff>47423</xdr:rowOff>
    </xdr:from>
    <xdr:to>
      <xdr:col>1</xdr:col>
      <xdr:colOff>135753</xdr:colOff>
      <xdr:row>139</xdr:row>
      <xdr:rowOff>104467</xdr:rowOff>
    </xdr:to>
    <xdr:pic>
      <xdr:nvPicPr>
        <xdr:cNvPr id="196" name="Graphic 22" descr="Arrow">
          <a:hlinkClick xmlns:r="http://schemas.openxmlformats.org/officeDocument/2006/relationships" r:id="rId15" tooltip="Select to learn more from the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twoCellAnchor>
  <xdr:twoCellAnchor editAs="absolute">
    <xdr:from>
      <xdr:col>1</xdr:col>
      <xdr:colOff>99856</xdr:colOff>
      <xdr:row>144</xdr:row>
      <xdr:rowOff>59295</xdr:rowOff>
    </xdr:from>
    <xdr:to>
      <xdr:col>1</xdr:col>
      <xdr:colOff>2006382</xdr:colOff>
      <xdr:row>145</xdr:row>
      <xdr:rowOff>175621</xdr:rowOff>
    </xdr:to>
    <xdr:sp macro="" textlink="">
      <xdr:nvSpPr>
        <xdr:cNvPr id="197"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twoCellAnchor>
  <xdr:twoCellAnchor editAs="absolute">
    <xdr:from>
      <xdr:col>0</xdr:col>
      <xdr:colOff>477316</xdr:colOff>
      <xdr:row>143</xdr:row>
      <xdr:rowOff>172756</xdr:rowOff>
    </xdr:from>
    <xdr:to>
      <xdr:col>1</xdr:col>
      <xdr:colOff>135753</xdr:colOff>
      <xdr:row>146</xdr:row>
      <xdr:rowOff>60890</xdr:rowOff>
    </xdr:to>
    <xdr:pic>
      <xdr:nvPicPr>
        <xdr:cNvPr id="198" name="Graphic 22" descr="Arrow">
          <a:hlinkClick xmlns:r="http://schemas.openxmlformats.org/officeDocument/2006/relationships" r:id="rId16" tooltip="Select to learn more from the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twoCellAnchor>
  <xdr:twoCellAnchor editAs="absolute">
    <xdr:from>
      <xdr:col>0</xdr:col>
      <xdr:colOff>571500</xdr:colOff>
      <xdr:row>21</xdr:row>
      <xdr:rowOff>38100</xdr:rowOff>
    </xdr:from>
    <xdr:to>
      <xdr:col>1</xdr:col>
      <xdr:colOff>4953401</xdr:colOff>
      <xdr:row>24</xdr:row>
      <xdr:rowOff>58997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71500" y="4610100"/>
          <a:ext cx="5267726" cy="592397"/>
          <a:chOff x="619125" y="4610100"/>
          <a:chExt cx="5220101" cy="596207"/>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364489</xdr:colOff>
      <xdr:row>111</xdr:row>
      <xdr:rowOff>114299</xdr:rowOff>
    </xdr:from>
    <xdr:to>
      <xdr:col>1</xdr:col>
      <xdr:colOff>5241289</xdr:colOff>
      <xdr:row>131</xdr:row>
      <xdr:rowOff>62127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a:grpSpLocks/>
        </xdr:cNvGrpSpPr>
      </xdr:nvGrpSpPr>
      <xdr:grpSpPr>
        <a:xfrm>
          <a:off x="364489" y="21269324"/>
          <a:ext cx="5762625" cy="3608603"/>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23</xdr:row>
      <xdr:rowOff>10948</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9335701" y="3964967"/>
          <a:ext cx="4351724" cy="995806"/>
          <a:chOff x="9434126" y="7174892"/>
          <a:chExt cx="4148524" cy="998981"/>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954499"/>
            <a:chOff x="10339001" y="7219374"/>
            <a:chExt cx="4148524" cy="954499"/>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953923"/>
              <a:chOff x="8448675" y="2143125"/>
              <a:chExt cx="2419160" cy="948102"/>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10</xdr:row>
      <xdr:rowOff>114300</xdr:rowOff>
    </xdr:from>
    <xdr:to>
      <xdr:col>1</xdr:col>
      <xdr:colOff>4438649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1082675" y="2590800"/>
          <a:ext cx="4241799" cy="1924050"/>
          <a:chOff x="3048000" y="4524375"/>
          <a:chExt cx="4238624" cy="192405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3" name="txt_FormulaCalloutUpper" descr="What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353049" y="4524375"/>
            <a:ext cx="1933575" cy="861227"/>
            <a:chOff x="5353049" y="4524375"/>
            <a:chExt cx="1933575" cy="861227"/>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1" name="txt_FormulaCalloutUpper" descr="For each match found, what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193357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For each match found, what range do you want to sum?</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68300" y="5530850"/>
          <a:ext cx="5680075" cy="2657475"/>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at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sum?</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61950" y="16764000"/>
          <a:ext cx="5768975" cy="444015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3677651</xdr:colOff>
      <xdr:row>108</xdr:row>
      <xdr:rowOff>95885</xdr:rowOff>
    </xdr:from>
    <xdr:to>
      <xdr:col>1</xdr:col>
      <xdr:colOff>4950281</xdr:colOff>
      <xdr:row>110</xdr:row>
      <xdr:rowOff>61764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364490</xdr:colOff>
      <xdr:row>45</xdr:row>
      <xdr:rowOff>135891</xdr:rowOff>
    </xdr:from>
    <xdr:to>
      <xdr:col>1</xdr:col>
      <xdr:colOff>5239385</xdr:colOff>
      <xdr:row>86</xdr:row>
      <xdr:rowOff>173991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555321</xdr:colOff>
      <xdr:row>49</xdr:row>
      <xdr:rowOff>38100</xdr:rowOff>
    </xdr:from>
    <xdr:to>
      <xdr:col>1</xdr:col>
      <xdr:colOff>4943144</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555321</xdr:colOff>
      <xdr:row>46</xdr:row>
      <xdr:rowOff>38100</xdr:rowOff>
    </xdr:from>
    <xdr:to>
      <xdr:col>1</xdr:col>
      <xdr:colOff>4951420</xdr:colOff>
      <xdr:row>48</xdr:row>
      <xdr:rowOff>134052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twoCellAnchor>
  <xdr:twoCellAnchor editAs="absolute">
    <xdr:from>
      <xdr:col>0</xdr:col>
      <xdr:colOff>555321</xdr:colOff>
      <xdr:row>82</xdr:row>
      <xdr:rowOff>100542</xdr:rowOff>
    </xdr:from>
    <xdr:to>
      <xdr:col>1</xdr:col>
      <xdr:colOff>4943144</xdr:colOff>
      <xdr:row>82</xdr:row>
      <xdr:rowOff>100542</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553085</xdr:colOff>
      <xdr:row>49</xdr:row>
      <xdr:rowOff>38100</xdr:rowOff>
    </xdr:from>
    <xdr:to>
      <xdr:col>1</xdr:col>
      <xdr:colOff>5011378</xdr:colOff>
      <xdr:row>50</xdr:row>
      <xdr:rowOff>100947</xdr:rowOff>
    </xdr:to>
    <xdr:sp macro="" textlink="">
      <xdr:nvSpPr>
        <xdr:cNvPr id="259"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FD69C356-A3A0-4ACC-9509-4D5AB4574A46}"/>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COUNTIF</a:t>
          </a:r>
          <a:r>
            <a:rPr lang="en-US" sz="1100" kern="1200">
              <a:solidFill>
                <a:schemeClr val="dk1"/>
              </a:solidFill>
              <a:latin typeface="Segoe UI" panose="020B0502040204020203" pitchFamily="34" charset="0"/>
              <a:ea typeface="+mn-ea"/>
              <a:cs typeface="Segoe UI" panose="020B0502040204020203" pitchFamily="34" charset="0"/>
            </a:rPr>
            <a:t> and</a:t>
          </a:r>
          <a:r>
            <a:rPr lang="en-US" sz="1100" kern="1200" baseline="0">
              <a:solidFill>
                <a:schemeClr val="dk1"/>
              </a:solidFill>
              <a:latin typeface="Segoe UI" panose="020B0502040204020203" pitchFamily="34" charset="0"/>
              <a:ea typeface="+mn-ea"/>
              <a:cs typeface="Segoe UI" panose="020B0502040204020203" pitchFamily="34" charset="0"/>
            </a:rPr>
            <a:t> </a:t>
          </a:r>
          <a:r>
            <a:rPr lang="en-US" sz="1100" b="1" kern="1200" baseline="0">
              <a:solidFill>
                <a:schemeClr val="dk1"/>
              </a:solidFill>
              <a:latin typeface="Segoe UI" panose="020B0502040204020203" pitchFamily="34" charset="0"/>
              <a:ea typeface="+mn-ea"/>
              <a:cs typeface="Segoe UI" panose="020B0502040204020203" pitchFamily="34" charset="0"/>
            </a:rPr>
            <a:t>COUNTIFS</a:t>
          </a:r>
          <a:r>
            <a:rPr lang="en-US"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criteria you specify. They're </a:t>
          </a:r>
          <a:r>
            <a:rPr lang="en-US" sz="1100" kern="1200">
              <a:solidFill>
                <a:schemeClr val="dk1"/>
              </a:solidFill>
              <a:latin typeface="Segoe UI" panose="020B0502040204020203" pitchFamily="34" charset="0"/>
              <a:ea typeface="+mn-ea"/>
              <a:cs typeface="Segoe UI" panose="020B0502040204020203" pitchFamily="34" charset="0"/>
            </a:rPr>
            <a:t>a bit different</a:t>
          </a:r>
          <a:r>
            <a:rPr lang="en-US"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evalute one range, then look in another to summarize.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53</xdr:row>
      <xdr:rowOff>152400</xdr:rowOff>
    </xdr:from>
    <xdr:to>
      <xdr:col>1</xdr:col>
      <xdr:colOff>4934986</xdr:colOff>
      <xdr:row>56</xdr:row>
      <xdr:rowOff>173297</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71500" y="10648950"/>
          <a:ext cx="5249311" cy="563822"/>
          <a:chOff x="609600" y="10820400"/>
          <a:chExt cx="5220101" cy="596207"/>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53010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66</xdr:row>
      <xdr:rowOff>59055</xdr:rowOff>
    </xdr:from>
    <xdr:to>
      <xdr:col>1</xdr:col>
      <xdr:colOff>4934986</xdr:colOff>
      <xdr:row>69</xdr:row>
      <xdr:rowOff>67252</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71500" y="12946380"/>
          <a:ext cx="5249311" cy="547947"/>
          <a:chOff x="609600" y="13230225"/>
          <a:chExt cx="5220101" cy="596207"/>
        </a:xfrm>
      </xdr:grpSpPr>
      <xdr:sp macro="" textlink="">
        <xdr:nvSpPr>
          <xdr:cNvPr id="265" name="txt_Step" descr="COUNTIFS is the same as SUMIF, but it lets you use multiple criteria. So in this example, you can look for Fruit and Type, instead of just by Fruit. Select cell H64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133350</xdr:rowOff>
    </xdr:from>
    <xdr:to>
      <xdr:col>1</xdr:col>
      <xdr:colOff>4162425</xdr:colOff>
      <xdr:row>65</xdr:row>
      <xdr:rowOff>152400</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076325" y="10991850"/>
          <a:ext cx="3968750" cy="1866900"/>
          <a:chOff x="3048000" y="4524375"/>
          <a:chExt cx="3971925" cy="1924050"/>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4" name="txt_FormulaCalloutUpper" descr="What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15950" y="13842982"/>
          <a:ext cx="5443948" cy="1837237"/>
          <a:chOff x="638175" y="14144607"/>
          <a:chExt cx="5370923" cy="196423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second range to count</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criteria for the first match</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516890</xdr:colOff>
      <xdr:row>130</xdr:row>
      <xdr:rowOff>59690</xdr:rowOff>
    </xdr:from>
    <xdr:to>
      <xdr:col>1</xdr:col>
      <xdr:colOff>937985</xdr:colOff>
      <xdr:row>132</xdr:row>
      <xdr:rowOff>24299</xdr:rowOff>
    </xdr:to>
    <xdr:sp macro="" textlink="">
      <xdr:nvSpPr>
        <xdr:cNvPr id="132" name="PreviousButton" descr="Return to the previous sheet">
          <a:hlinkClick xmlns:r="http://schemas.openxmlformats.org/officeDocument/2006/relationships" r:id="rId23" tooltip="Click here to go back to the previous sheet"/>
          <a:extLst>
            <a:ext uri="{FF2B5EF4-FFF2-40B4-BE49-F238E27FC236}">
              <a16:creationId xmlns:a16="http://schemas.microsoft.com/office/drawing/2014/main" id="{830297D0-B7B5-411D-BAB3-CF97F2FD22DD}"/>
            </a:ext>
          </a:extLst>
        </xdr:cNvPr>
        <xdr:cNvSpPr/>
      </xdr:nvSpPr>
      <xdr:spPr>
        <a:xfrm flipH="1">
          <a:off x="514350" y="254698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3673403</xdr:colOff>
      <xdr:row>130</xdr:row>
      <xdr:rowOff>63580</xdr:rowOff>
    </xdr:from>
    <xdr:to>
      <xdr:col>1</xdr:col>
      <xdr:colOff>4826548</xdr:colOff>
      <xdr:row>132</xdr:row>
      <xdr:rowOff>53657</xdr:rowOff>
    </xdr:to>
    <xdr:sp macro="" textlink="">
      <xdr:nvSpPr>
        <xdr:cNvPr id="178" name="Next Button" descr="Next step button, hyperlinked to next worksheet">
          <a:hlinkClick xmlns:r="http://schemas.openxmlformats.org/officeDocument/2006/relationships" r:id="rId3"/>
          <a:extLst>
            <a:ext uri="{FF2B5EF4-FFF2-40B4-BE49-F238E27FC236}">
              <a16:creationId xmlns:a16="http://schemas.microsoft.com/office/drawing/2014/main" id="{21885DC0-F099-46D4-A1CF-17E11C390036}"/>
            </a:ext>
          </a:extLst>
        </xdr:cNvPr>
        <xdr:cNvSpPr/>
      </xdr:nvSpPr>
      <xdr:spPr>
        <a:xfrm>
          <a:off x="4513508" y="254826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CHECK THIS OUT" descr="CHECK THIS OUT&#10;&#10;">
          <a:extLst>
            <a:ext uri="{FF2B5EF4-FFF2-40B4-BE49-F238E27FC236}">
              <a16:creationId xmlns:a16="http://schemas.microsoft.com/office/drawing/2014/main" id="{16122225-CAAD-44E9-BB30-7B1C9C3D2195}"/>
            </a:ext>
          </a:extLst>
        </xdr:cNvPr>
        <xdr:cNvGrpSpPr/>
      </xdr:nvGrpSpPr>
      <xdr:grpSpPr>
        <a:xfrm>
          <a:off x="7273925" y="2473325"/>
          <a:ext cx="2552700" cy="1634078"/>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You should end up with </a:t>
            </a:r>
            <a:r>
              <a:rPr lang="en-US"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47</xdr:row>
      <xdr:rowOff>76200</xdr:rowOff>
    </xdr:to>
    <xdr:grpSp>
      <xdr:nvGrpSpPr>
        <xdr:cNvPr id="82" name="Group 81">
          <a:extLst>
            <a:ext uri="{FF2B5EF4-FFF2-40B4-BE49-F238E27FC236}">
              <a16:creationId xmlns:a16="http://schemas.microsoft.com/office/drawing/2014/main" id="{1015345F-A070-4EDE-8224-DC487667438E}"/>
            </a:ext>
          </a:extLst>
        </xdr:cNvPr>
        <xdr:cNvGrpSpPr/>
      </xdr:nvGrpSpPr>
      <xdr:grpSpPr>
        <a:xfrm>
          <a:off x="349250" y="6978650"/>
          <a:ext cx="5774563" cy="2270125"/>
          <a:chOff x="352425" y="10715625"/>
          <a:chExt cx="5733288" cy="2390775"/>
        </a:xfrm>
      </xdr:grpSpPr>
      <xdr:sp macro="" textlink="">
        <xdr:nvSpPr>
          <xdr:cNvPr id="83" name="Rectangle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4" name="Step" descr="More information on the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Straight Connector 84" descr="Decorative line">
            <a:extLst>
              <a:ext uri="{FF2B5EF4-FFF2-40B4-BE49-F238E27FC236}">
                <a16:creationId xmlns:a16="http://schemas.microsoft.com/office/drawing/2014/main" id="{123ED04E-B6E8-457B-8D55-39D8FD68B6AD}"/>
              </a:ext>
            </a:extLst>
          </xdr:cNvPr>
          <xdr:cNvCxnSpPr>
            <a:cxnSpLocks/>
          </xdr:cNvCxnSpPr>
        </xdr:nvCxnSpPr>
        <xdr:spPr>
          <a:xfrm>
            <a:off x="56345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descr="Decorative lin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37</xdr:row>
      <xdr:rowOff>149944</xdr:rowOff>
    </xdr:from>
    <xdr:to>
      <xdr:col>1</xdr:col>
      <xdr:colOff>2562225</xdr:colOff>
      <xdr:row>39</xdr:row>
      <xdr:rowOff>128023</xdr:rowOff>
    </xdr:to>
    <xdr:grpSp>
      <xdr:nvGrpSpPr>
        <xdr:cNvPr id="5" name="Group 4">
          <a:extLst>
            <a:ext uri="{FF2B5EF4-FFF2-40B4-BE49-F238E27FC236}">
              <a16:creationId xmlns:a16="http://schemas.microsoft.com/office/drawing/2014/main" id="{82632918-520D-4E51-9E28-E3DEB82D9A91}"/>
            </a:ext>
          </a:extLst>
        </xdr:cNvPr>
        <xdr:cNvGrpSpPr/>
      </xdr:nvGrpSpPr>
      <xdr:grpSpPr>
        <a:xfrm>
          <a:off x="559231" y="7512769"/>
          <a:ext cx="2904694" cy="336854"/>
          <a:chOff x="562406" y="11008444"/>
          <a:chExt cx="2866594" cy="359079"/>
        </a:xfrm>
      </xdr:grpSpPr>
      <xdr:sp macro="" textlink="">
        <xdr:nvSpPr>
          <xdr:cNvPr id="87" name="Step" descr="All about the IF function, Hyperlinked to web&#10;&#10;">
            <a:hlinkClick xmlns:r="http://schemas.openxmlformats.org/officeDocument/2006/relationships" r:id="rId3" tooltip="Select to learn all about formulas in Excel on the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formulas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phic 22" descr="Arrow">
            <a:hlinkClick xmlns:r="http://schemas.openxmlformats.org/officeDocument/2006/relationships" r:id="rId3" tooltip="Select to learn more from the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39</xdr:row>
      <xdr:rowOff>144010</xdr:rowOff>
    </xdr:from>
    <xdr:to>
      <xdr:col>1</xdr:col>
      <xdr:colOff>2590800</xdr:colOff>
      <xdr:row>41</xdr:row>
      <xdr:rowOff>127399</xdr:rowOff>
    </xdr:to>
    <xdr:grpSp>
      <xdr:nvGrpSpPr>
        <xdr:cNvPr id="4" name="Group 3">
          <a:extLst>
            <a:ext uri="{FF2B5EF4-FFF2-40B4-BE49-F238E27FC236}">
              <a16:creationId xmlns:a16="http://schemas.microsoft.com/office/drawing/2014/main" id="{98FAF5DD-EE61-45C8-981A-2D0D0E97F1D8}"/>
            </a:ext>
          </a:extLst>
        </xdr:cNvPr>
        <xdr:cNvGrpSpPr/>
      </xdr:nvGrpSpPr>
      <xdr:grpSpPr>
        <a:xfrm>
          <a:off x="559231" y="7865610"/>
          <a:ext cx="2936444" cy="345339"/>
          <a:chOff x="562406" y="11383510"/>
          <a:chExt cx="2895169" cy="364389"/>
        </a:xfrm>
      </xdr:grpSpPr>
      <xdr:sp macro="" textlink="">
        <xdr:nvSpPr>
          <xdr:cNvPr id="89" name="Step" descr="All about the IFS function, hyperlinked to web&#10;">
            <a:hlinkClick xmlns:r="http://schemas.openxmlformats.org/officeDocument/2006/relationships" r:id="rId6" tooltip="Select to see all of Excel's functions by category on the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category)</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phic 22" descr="Arrow">
            <a:hlinkClick xmlns:r="http://schemas.openxmlformats.org/officeDocument/2006/relationships" r:id="rId6" tooltip="Select to learn more from the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43</xdr:row>
      <xdr:rowOff>174928</xdr:rowOff>
    </xdr:from>
    <xdr:to>
      <xdr:col>1</xdr:col>
      <xdr:colOff>2212267</xdr:colOff>
      <xdr:row>45</xdr:row>
      <xdr:rowOff>158317</xdr:rowOff>
    </xdr:to>
    <xdr:grpSp>
      <xdr:nvGrpSpPr>
        <xdr:cNvPr id="2" name="Group 1">
          <a:extLst>
            <a:ext uri="{FF2B5EF4-FFF2-40B4-BE49-F238E27FC236}">
              <a16:creationId xmlns:a16="http://schemas.microsoft.com/office/drawing/2014/main" id="{2F82E782-5C9A-405F-90E2-13AE28FFFCBD}"/>
            </a:ext>
          </a:extLst>
        </xdr:cNvPr>
        <xdr:cNvGrpSpPr/>
      </xdr:nvGrpSpPr>
      <xdr:grpSpPr>
        <a:xfrm>
          <a:off x="559231" y="8626778"/>
          <a:ext cx="2557911" cy="345339"/>
          <a:chOff x="562406" y="12176428"/>
          <a:chExt cx="2516636" cy="364389"/>
        </a:xfrm>
      </xdr:grpSpPr>
      <xdr:sp macro="" textlink="">
        <xdr:nvSpPr>
          <xdr:cNvPr id="91" name="Step" descr="Free Excel training online, hyperlinked to web&#10;">
            <a:hlinkClick xmlns:r="http://schemas.openxmlformats.org/officeDocument/2006/relationships" r:id="rId7" tooltip="Select to learn about free Excel training on the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2" name="Graphic 22" descr="Arrow">
            <a:hlinkClick xmlns:r="http://schemas.openxmlformats.org/officeDocument/2006/relationships" r:id="rId7" tooltip="Select to learn more from the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41</xdr:row>
      <xdr:rowOff>143386</xdr:rowOff>
    </xdr:from>
    <xdr:to>
      <xdr:col>1</xdr:col>
      <xdr:colOff>2590800</xdr:colOff>
      <xdr:row>43</xdr:row>
      <xdr:rowOff>126775</xdr:rowOff>
    </xdr:to>
    <xdr:grpSp>
      <xdr:nvGrpSpPr>
        <xdr:cNvPr id="3" name="Group 2">
          <a:extLst>
            <a:ext uri="{FF2B5EF4-FFF2-40B4-BE49-F238E27FC236}">
              <a16:creationId xmlns:a16="http://schemas.microsoft.com/office/drawing/2014/main" id="{F4AC7FE3-2FB4-4A3F-8F6D-E41D0BF24478}"/>
            </a:ext>
          </a:extLst>
        </xdr:cNvPr>
        <xdr:cNvGrpSpPr/>
      </xdr:nvGrpSpPr>
      <xdr:grpSpPr>
        <a:xfrm>
          <a:off x="559231" y="8226936"/>
          <a:ext cx="2936444" cy="345339"/>
          <a:chOff x="562406" y="11763886"/>
          <a:chExt cx="2895169" cy="364389"/>
        </a:xfrm>
      </xdr:grpSpPr>
      <xdr:sp macro="" textlink="">
        <xdr:nvSpPr>
          <xdr:cNvPr id="93" name="Step" descr="Advanced IF statements, hyperlinked to web&#10;">
            <a:hlinkClick xmlns:r="http://schemas.openxmlformats.org/officeDocument/2006/relationships" r:id="rId8" tooltip="Select to see all of Excel's functions alphabetically on the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94" name="Graphic 22" descr="Arrow">
            <a:hlinkClick xmlns:r="http://schemas.openxmlformats.org/officeDocument/2006/relationships" r:id="rId8" tooltip="Select to learn more from the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Let the Function Wizard guide you</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re no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you know the name of the function you want, but you're not sure how to build it, you can use the Function Wizard to help you 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57139</xdr:rowOff>
    </xdr:from>
    <xdr:to>
      <xdr:col>1</xdr:col>
      <xdr:colOff>5105399</xdr:colOff>
      <xdr:row>8</xdr:row>
      <xdr:rowOff>78671</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9437" y="1571614"/>
          <a:ext cx="5430837" cy="583507"/>
          <a:chOff x="647700" y="7419975"/>
          <a:chExt cx="5491034" cy="567632"/>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Select cell D10, then go to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Formulas</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&gt;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Insert Function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&gt; type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in the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Search for a function</a:t>
            </a:r>
            <a:r>
              <a:rPr lang="en-US" sz="1200" b="1" i="0" u="none" strike="noStrike" kern="1200" baseline="0">
                <a:solidFill>
                  <a:schemeClr val="dk1"/>
                </a:solidFill>
                <a:effectLst/>
                <a:latin typeface="Segoe UI" panose="020B0502040204020203" pitchFamily="34" charset="0"/>
                <a:ea typeface="+mn-ea"/>
                <a:cs typeface="Segoe UI" panose="020B0502040204020203" pitchFamily="34" charset="0"/>
              </a:rPr>
              <a:t> </a:t>
            </a:r>
            <a:r>
              <a:rPr lang="en-US" sz="1200" b="0" i="0" u="none" strike="noStrike" kern="1200" baseline="0">
                <a:solidFill>
                  <a:schemeClr val="dk1"/>
                </a:solidFill>
                <a:effectLst/>
                <a:latin typeface="Segoe UI" panose="020B0502040204020203" pitchFamily="34" charset="0"/>
                <a:ea typeface="+mn-ea"/>
                <a:cs typeface="Segoe UI" panose="020B0502040204020203" pitchFamily="34" charset="0"/>
              </a:rPr>
              <a:t>box</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and press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GO</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When you see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highlighted, click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OK</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at the bottom.</a:t>
            </a:r>
            <a:r>
              <a:rPr lang="en-US" sz="1200">
                <a:latin typeface="Segoe UI" panose="020B0502040204020203" pitchFamily="34" charset="0"/>
                <a:cs typeface="Segoe UI" panose="020B0502040204020203" pitchFamily="34" charset="0"/>
              </a:rPr>
              <a:t> When you select a function in the</a:t>
            </a:r>
            <a:r>
              <a:rPr lang="en-US" sz="1200" baseline="0">
                <a:latin typeface="Segoe UI" panose="020B0502040204020203" pitchFamily="34" charset="0"/>
                <a:cs typeface="Segoe UI" panose="020B0502040204020203" pitchFamily="34" charset="0"/>
              </a:rPr>
              <a:t> list, Excel will display its syntax.</a:t>
            </a:r>
            <a:endParaRPr kumimoji="0" lang="en-US" sz="12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9437" y="2551114"/>
          <a:ext cx="5233987" cy="570807"/>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enter the function arguments in their respective text boxes. As you enter each one, Excel will evaluate it, and show you its result, with the final result at the bottom.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when you're done, and Excel will enter the formula for you.</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9"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10"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1</xdr:col>
      <xdr:colOff>228600</xdr:colOff>
      <xdr:row>15</xdr:row>
      <xdr:rowOff>114300</xdr:rowOff>
    </xdr:from>
    <xdr:to>
      <xdr:col>1</xdr:col>
      <xdr:colOff>4857750</xdr:colOff>
      <xdr:row>29</xdr:row>
      <xdr:rowOff>20793</xdr:rowOff>
    </xdr:to>
    <xdr:pic>
      <xdr:nvPicPr>
        <xdr:cNvPr id="7" name="Picture 6" descr="VLOOKUP Function Arguments dialog">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stretch>
          <a:fillRect/>
        </a:stretch>
      </xdr:blipFill>
      <xdr:spPr>
        <a:xfrm>
          <a:off x="1095375" y="3571875"/>
          <a:ext cx="4629150"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449239" y="3631904"/>
          <a:ext cx="7866336" cy="3529183"/>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type cell and range references, or select them with your mouse.</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As you enter each argument's section, the argument's description will be displayed toward the bottom of the form, above the Formula result.</a:t>
              </a:r>
              <a:endParaRPr lang="en-US" sz="1100">
                <a:effectLst/>
                <a:latin typeface="+mn-lt"/>
              </a:endParaRPr>
            </a:p>
          </xdr:txBody>
        </xdr:sp>
        <xdr:sp macro="" textlink="">
          <xdr:nvSpPr>
            <xdr:cNvPr id="104" name="Freeform: Shape 103" descr="Ar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365760</xdr:rowOff>
    </xdr:from>
    <xdr:to>
      <xdr:col>1</xdr:col>
      <xdr:colOff>5208905</xdr:colOff>
      <xdr:row>48</xdr:row>
      <xdr:rowOff>179706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563883</xdr:colOff>
      <xdr:row>0</xdr:row>
      <xdr:rowOff>457199</xdr:rowOff>
    </xdr:from>
    <xdr:to>
      <xdr:col>1</xdr:col>
      <xdr:colOff>4948552</xdr:colOff>
      <xdr:row>3</xdr:row>
      <xdr:rowOff>144933</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Fixing formula errors</a:t>
          </a:r>
        </a:p>
      </xdr:txBody>
    </xdr:sp>
    <xdr:clientData/>
  </xdr:twoCellAnchor>
  <xdr:twoCellAnchor editAs="absolute">
    <xdr:from>
      <xdr:col>0</xdr:col>
      <xdr:colOff>563883</xdr:colOff>
      <xdr:row>2</xdr:row>
      <xdr:rowOff>76201</xdr:rowOff>
    </xdr:from>
    <xdr:to>
      <xdr:col>1</xdr:col>
      <xdr:colOff>4945356</xdr:colOff>
      <xdr:row>2</xdr:row>
      <xdr:rowOff>76201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563883</xdr:colOff>
      <xdr:row>45</xdr:row>
      <xdr:rowOff>78316</xdr:rowOff>
    </xdr:from>
    <xdr:to>
      <xdr:col>1</xdr:col>
      <xdr:colOff>4945356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108346</xdr:rowOff>
    </xdr:from>
    <xdr:to>
      <xdr:col>1</xdr:col>
      <xdr:colOff>4957602</xdr:colOff>
      <xdr:row>6</xdr:row>
      <xdr:rowOff>177080</xdr:rowOff>
    </xdr:to>
    <xdr:sp macro="" textlink="">
      <xdr:nvSpPr>
        <xdr:cNvPr id="53" name="txt_TourIntro" descr="At some point in time, you'll run across a formula that has an error, which Excel will display with #ErrorName!. Errors can be helpful, because they point out when something's not working right, but they can be challenging to fix. Fortunately, the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22860</xdr:rowOff>
    </xdr:from>
    <xdr:to>
      <xdr:col>1</xdr:col>
      <xdr:colOff>4938161</xdr:colOff>
      <xdr:row>10</xdr:row>
      <xdr:rowOff>6927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892935"/>
          <a:ext cx="5274711" cy="565092"/>
          <a:chOff x="476250" y="1924050"/>
          <a:chExt cx="5220101" cy="596207"/>
        </a:xfrm>
      </xdr:grpSpPr>
      <xdr:sp macro="" textlink="">
        <xdr:nvSpPr>
          <xdr:cNvPr id="55" name="txt_Step" descr="Error checking - Go to Formulas &gt; Error checking. This will load a dialog that will tell you the general cause for your specific error. In cell D9, the #N/A error is caused because there is no value matching &quot;Apple&quot;.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 -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load a dialog that will tell you the general cause for your specific error. In cell D9,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error is caused because there is no value matching "Apple". You can fix this by using a value that does exist, suppress the error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ignore it and know it will go away when you do use a value that exists.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850561</xdr:colOff>
      <xdr:row>12</xdr:row>
      <xdr:rowOff>114300</xdr:rowOff>
    </xdr:from>
    <xdr:to>
      <xdr:col>1</xdr:col>
      <xdr:colOff>4708865</xdr:colOff>
      <xdr:row>22</xdr:row>
      <xdr:rowOff>114062</xdr:rowOff>
    </xdr:to>
    <xdr:pic>
      <xdr:nvPicPr>
        <xdr:cNvPr id="57" name="Picture 56" descr="Error checking dialog">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stretch>
          <a:fillRect/>
        </a:stretch>
      </xdr:blipFill>
      <xdr:spPr>
        <a:xfrm>
          <a:off x="848021" y="3009900"/>
          <a:ext cx="4723809" cy="1904762"/>
        </a:xfrm>
        <a:prstGeom prst="rect">
          <a:avLst/>
        </a:prstGeom>
      </xdr:spPr>
    </xdr:pic>
    <xdr:clientData/>
  </xdr:twoCellAnchor>
  <xdr:twoCellAnchor editAs="absolute">
    <xdr:from>
      <xdr:col>0</xdr:col>
      <xdr:colOff>571500</xdr:colOff>
      <xdr:row>22</xdr:row>
      <xdr:rowOff>158433</xdr:rowOff>
    </xdr:from>
    <xdr:to>
      <xdr:col>1</xdr:col>
      <xdr:colOff>4938161</xdr:colOff>
      <xdr:row>25</xdr:row>
      <xdr:rowOff>180600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781233"/>
          <a:ext cx="5274711" cy="565092"/>
          <a:chOff x="476250" y="4957763"/>
          <a:chExt cx="5220101" cy="596207"/>
        </a:xfrm>
      </xdr:grpSpPr>
      <xdr:sp macro="" textlink="">
        <xdr:nvSpPr>
          <xdr:cNvPr id="59" name="txt_Step" descr="If you click Help on this Error, a help topic specific to the error message will open. If you click Show Calculation Steps, an evaluate formula dialog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Help on this 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help topic specific to the error message will open. 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Calculation Steps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 Formula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 will load.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751512</xdr:colOff>
      <xdr:row>26</xdr:row>
      <xdr:rowOff>103505</xdr:rowOff>
    </xdr:from>
    <xdr:to>
      <xdr:col>1</xdr:col>
      <xdr:colOff>4800293</xdr:colOff>
      <xdr:row>40</xdr:row>
      <xdr:rowOff>25706</xdr:rowOff>
    </xdr:to>
    <xdr:pic>
      <xdr:nvPicPr>
        <xdr:cNvPr id="61" name="Picture 60" descr="Evaluate Formula dialog">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stretch>
          <a:fillRect/>
        </a:stretch>
      </xdr:blipFill>
      <xdr:spPr>
        <a:xfrm>
          <a:off x="752782" y="5667375"/>
          <a:ext cx="4914286" cy="2628571"/>
        </a:xfrm>
        <a:prstGeom prst="rect">
          <a:avLst/>
        </a:prstGeom>
      </xdr:spPr>
    </xdr:pic>
    <xdr:clientData/>
  </xdr:twoCellAnchor>
  <xdr:twoCellAnchor editAs="absolute">
    <xdr:from>
      <xdr:col>0</xdr:col>
      <xdr:colOff>571500</xdr:colOff>
      <xdr:row>40</xdr:row>
      <xdr:rowOff>103505</xdr:rowOff>
    </xdr:from>
    <xdr:to>
      <xdr:col>1</xdr:col>
      <xdr:colOff>4938161</xdr:colOff>
      <xdr:row>43</xdr:row>
      <xdr:rowOff>132022</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571500" y="8021955"/>
          <a:ext cx="5274711" cy="568267"/>
          <a:chOff x="476250" y="8372475"/>
          <a:chExt cx="5220101" cy="596207"/>
        </a:xfrm>
      </xdr:grpSpPr>
      <xdr:sp macro="" textlink="">
        <xdr:nvSpPr>
          <xdr:cNvPr id="63" name="txt_Step" descr="Each time you click Evaluate, Excel will step through the formula one section at a time. It won't necessarily tell you why an error occurs,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Each time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will step through the formula one section at a time. It won't necessarily tell you why an error occurs, but it will point out where. From there, look at the help topic to deduce what went wrong with your formula.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594360</xdr:colOff>
      <xdr:row>46</xdr:row>
      <xdr:rowOff>50165</xdr:rowOff>
    </xdr:from>
    <xdr:to>
      <xdr:col>1</xdr:col>
      <xdr:colOff>1000217</xdr:colOff>
      <xdr:row>48</xdr:row>
      <xdr:rowOff>2074</xdr:rowOff>
    </xdr:to>
    <xdr:sp macro="" textlink="">
      <xdr:nvSpPr>
        <xdr:cNvPr id="65"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3672374</xdr:colOff>
      <xdr:row>46</xdr:row>
      <xdr:rowOff>50165</xdr:rowOff>
    </xdr:from>
    <xdr:to>
      <xdr:col>1</xdr:col>
      <xdr:colOff>4943736</xdr:colOff>
      <xdr:row>48</xdr:row>
      <xdr:rowOff>2074</xdr:rowOff>
    </xdr:to>
    <xdr:sp macro="" textlink="">
      <xdr:nvSpPr>
        <xdr:cNvPr id="66"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2</xdr:col>
      <xdr:colOff>876300</xdr:colOff>
      <xdr:row>36</xdr:row>
      <xdr:rowOff>38100</xdr:rowOff>
    </xdr:from>
    <xdr:to>
      <xdr:col>7</xdr:col>
      <xdr:colOff>214417</xdr:colOff>
      <xdr:row>42</xdr:row>
      <xdr:rowOff>48036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7572375" y="7219950"/>
          <a:ext cx="3036992" cy="1102136"/>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What's</a:t>
            </a:r>
            <a:r>
              <a:rPr lang="en-US" sz="1100" kern="0" baseline="0">
                <a:solidFill>
                  <a:schemeClr val="bg2">
                    <a:lumMod val="25000"/>
                  </a:schemeClr>
                </a:solidFill>
                <a:latin typeface="+mn-lt"/>
                <a:ea typeface="Segoe UI" pitchFamily="34" charset="0"/>
                <a:cs typeface="Segoe UI Light" panose="020B0502040204020203" pitchFamily="34" charset="0"/>
              </a:rPr>
              <a:t> wrong here? Hint: We're trying to </a:t>
            </a:r>
            <a:r>
              <a:rPr lang="en-US" sz="1100" b="1" kern="0" baseline="0">
                <a:solidFill>
                  <a:schemeClr val="bg2">
                    <a:lumMod val="25000"/>
                  </a:schemeClr>
                </a:solidFill>
                <a:latin typeface="+mn-lt"/>
                <a:ea typeface="Segoe UI" pitchFamily="34" charset="0"/>
                <a:cs typeface="Segoe UI Light" panose="020B0502040204020203" pitchFamily="34" charset="0"/>
              </a:rPr>
              <a:t>SUM</a:t>
            </a:r>
            <a:r>
              <a:rPr lang="en-US" sz="1100" kern="0" baseline="0">
                <a:solidFill>
                  <a:schemeClr val="bg2">
                    <a:lumMod val="25000"/>
                  </a:schemeClr>
                </a:solidFill>
                <a:latin typeface="+mn-lt"/>
                <a:ea typeface="Segoe UI" pitchFamily="34" charset="0"/>
                <a:cs typeface="Segoe UI Light" panose="020B0502040204020203" pitchFamily="34" charset="0"/>
              </a:rPr>
              <a:t> up all the items.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50165</xdr:colOff>
      <xdr:row>22</xdr:row>
      <xdr:rowOff>107987</xdr:rowOff>
    </xdr:from>
    <xdr:to>
      <xdr:col>5</xdr:col>
      <xdr:colOff>175260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6743065" y="4724437"/>
          <a:ext cx="2607945" cy="80006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Clicking </a:t>
            </a:r>
            <a:r>
              <a:rPr lang="en-US" sz="1100" b="1" i="0" kern="1200" baseline="0">
                <a:solidFill>
                  <a:schemeClr val="dk1"/>
                </a:solidFill>
                <a:effectLst/>
                <a:latin typeface="+mn-lt"/>
                <a:ea typeface="+mn-ea"/>
                <a:cs typeface="+mn-cs"/>
              </a:rPr>
              <a:t>Options</a:t>
            </a:r>
            <a:r>
              <a:rPr lang="en-US" sz="1100" b="0" i="0" kern="1200" baseline="0">
                <a:solidFill>
                  <a:schemeClr val="dk1"/>
                </a:solidFill>
                <a:effectLst/>
                <a:latin typeface="+mn-lt"/>
                <a:ea typeface="+mn-ea"/>
                <a:cs typeface="+mn-cs"/>
              </a:rPr>
              <a:t> will let you set the rules for when errors in Excel are displayed or ignored.</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65450"/>
            <a:ext cx="323347" cy="349115"/>
          </a:xfrm>
          <a:prstGeom prst="rect">
            <a:avLst/>
          </a:prstGeom>
        </xdr:spPr>
      </xdr:pic>
    </xdr:grpSp>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49</xdr:row>
      <xdr:rowOff>47625</xdr:rowOff>
    </xdr:from>
    <xdr:to>
      <xdr:col>1</xdr:col>
      <xdr:colOff>5209413</xdr:colOff>
      <xdr:row>61</xdr:row>
      <xdr:rowOff>152400</xdr:rowOff>
    </xdr:to>
    <xdr:grpSp>
      <xdr:nvGrpSpPr>
        <xdr:cNvPr id="78" name="Group 77">
          <a:extLst>
            <a:ext uri="{FF2B5EF4-FFF2-40B4-BE49-F238E27FC236}">
              <a16:creationId xmlns:a16="http://schemas.microsoft.com/office/drawing/2014/main" id="{340F396F-7EEE-4FE2-8349-58C6AAB22606}"/>
            </a:ext>
          </a:extLst>
        </xdr:cNvPr>
        <xdr:cNvGrpSpPr/>
      </xdr:nvGrpSpPr>
      <xdr:grpSpPr>
        <a:xfrm>
          <a:off x="342900" y="9588500"/>
          <a:ext cx="5774563" cy="2279650"/>
          <a:chOff x="352425" y="10715625"/>
          <a:chExt cx="5733288" cy="2390775"/>
        </a:xfrm>
      </xdr:grpSpPr>
      <xdr:sp macro="" textlink="">
        <xdr:nvSpPr>
          <xdr:cNvPr id="79" name="Rectangle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0" name="Step" descr="More information on the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Straight Connector 80" descr="Decorative line">
            <a:extLst>
              <a:ext uri="{FF2B5EF4-FFF2-40B4-BE49-F238E27FC236}">
                <a16:creationId xmlns:a16="http://schemas.microsoft.com/office/drawing/2014/main" id="{D78368A3-B0DA-4D56-A2D9-D61314658FEC}"/>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descr="Decorative lin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52</xdr:row>
      <xdr:rowOff>16594</xdr:rowOff>
    </xdr:from>
    <xdr:to>
      <xdr:col>1</xdr:col>
      <xdr:colOff>2552700</xdr:colOff>
      <xdr:row>53</xdr:row>
      <xdr:rowOff>185173</xdr:rowOff>
    </xdr:to>
    <xdr:grpSp>
      <xdr:nvGrpSpPr>
        <xdr:cNvPr id="83" name="Group 82">
          <a:extLst>
            <a:ext uri="{FF2B5EF4-FFF2-40B4-BE49-F238E27FC236}">
              <a16:creationId xmlns:a16="http://schemas.microsoft.com/office/drawing/2014/main" id="{1612118D-530C-41CF-BA41-E6AC52C9311F}"/>
            </a:ext>
          </a:extLst>
        </xdr:cNvPr>
        <xdr:cNvGrpSpPr/>
      </xdr:nvGrpSpPr>
      <xdr:grpSpPr>
        <a:xfrm>
          <a:off x="552881" y="10103569"/>
          <a:ext cx="2904694" cy="346379"/>
          <a:chOff x="552881" y="10532194"/>
          <a:chExt cx="2866594" cy="359079"/>
        </a:xfrm>
      </xdr:grpSpPr>
      <xdr:sp macro="" textlink="">
        <xdr:nvSpPr>
          <xdr:cNvPr id="84" name="Step" descr="All about the IF function, Hyperlinked to web&#10;&#10;">
            <a:hlinkClick xmlns:r="http://schemas.openxmlformats.org/officeDocument/2006/relationships" r:id="rId9" tooltip="Select to learn all about detecting errors in formulas on the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 errors in formulas</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54</xdr:row>
      <xdr:rowOff>10660</xdr:rowOff>
    </xdr:from>
    <xdr:to>
      <xdr:col>1</xdr:col>
      <xdr:colOff>2581275</xdr:colOff>
      <xdr:row>55</xdr:row>
      <xdr:rowOff>184549</xdr:rowOff>
    </xdr:to>
    <xdr:grpSp>
      <xdr:nvGrpSpPr>
        <xdr:cNvPr id="86" name="Group 85">
          <a:extLst>
            <a:ext uri="{FF2B5EF4-FFF2-40B4-BE49-F238E27FC236}">
              <a16:creationId xmlns:a16="http://schemas.microsoft.com/office/drawing/2014/main" id="{ADC1751D-5736-45B9-8E54-EF18BF377AD1}"/>
            </a:ext>
          </a:extLst>
        </xdr:cNvPr>
        <xdr:cNvGrpSpPr/>
      </xdr:nvGrpSpPr>
      <xdr:grpSpPr>
        <a:xfrm>
          <a:off x="552881" y="10456410"/>
          <a:ext cx="2930094" cy="354864"/>
          <a:chOff x="552881" y="10907260"/>
          <a:chExt cx="2895169" cy="364389"/>
        </a:xfrm>
      </xdr:grpSpPr>
      <xdr:sp macro="" textlink="">
        <xdr:nvSpPr>
          <xdr:cNvPr id="87" name="Step" descr="All about the IFS function, hyperlinked to web&#10;">
            <a:hlinkClick xmlns:r="http://schemas.openxmlformats.org/officeDocument/2006/relationships" r:id="rId12" tooltip="Select to learn all about how to avoid broken formulas on the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How to avoid broken formulas</a:t>
            </a:r>
          </a:p>
        </xdr:txBody>
      </xdr:sp>
      <xdr:pic>
        <xdr:nvPicPr>
          <xdr:cNvPr id="88" name="Graphic 22" descr="Arrow">
            <a:hlinkClick xmlns:r="http://schemas.openxmlformats.org/officeDocument/2006/relationships" r:id="rId12" tooltip="Select to learn more from the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58</xdr:row>
      <xdr:rowOff>41578</xdr:rowOff>
    </xdr:from>
    <xdr:to>
      <xdr:col>1</xdr:col>
      <xdr:colOff>2202742</xdr:colOff>
      <xdr:row>60</xdr:row>
      <xdr:rowOff>24967</xdr:rowOff>
    </xdr:to>
    <xdr:grpSp>
      <xdr:nvGrpSpPr>
        <xdr:cNvPr id="89" name="Group 88">
          <a:extLst>
            <a:ext uri="{FF2B5EF4-FFF2-40B4-BE49-F238E27FC236}">
              <a16:creationId xmlns:a16="http://schemas.microsoft.com/office/drawing/2014/main" id="{7988A760-4FB2-4E7F-B1F1-2324CEF3CF3E}"/>
            </a:ext>
          </a:extLst>
        </xdr:cNvPr>
        <xdr:cNvGrpSpPr/>
      </xdr:nvGrpSpPr>
      <xdr:grpSpPr>
        <a:xfrm>
          <a:off x="552881" y="11217578"/>
          <a:ext cx="2551561" cy="345339"/>
          <a:chOff x="552881" y="11700178"/>
          <a:chExt cx="2516636" cy="364389"/>
        </a:xfrm>
      </xdr:grpSpPr>
      <xdr:sp macro="" textlink="">
        <xdr:nvSpPr>
          <xdr:cNvPr id="90" name="Step" descr="Free Excel training online, hyperlinked to web&#10;">
            <a:hlinkClick xmlns:r="http://schemas.openxmlformats.org/officeDocument/2006/relationships" r:id="rId13" tooltip="Select to learn about free Excel training on the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1" name="Graphic 22" descr="Arrow">
            <a:hlinkClick xmlns:r="http://schemas.openxmlformats.org/officeDocument/2006/relationships" r:id="rId13" tooltip="Select to learn more from the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56</xdr:row>
      <xdr:rowOff>10036</xdr:rowOff>
    </xdr:from>
    <xdr:to>
      <xdr:col>1</xdr:col>
      <xdr:colOff>3486149</xdr:colOff>
      <xdr:row>57</xdr:row>
      <xdr:rowOff>183925</xdr:rowOff>
    </xdr:to>
    <xdr:grpSp>
      <xdr:nvGrpSpPr>
        <xdr:cNvPr id="92" name="Group 91">
          <a:extLst>
            <a:ext uri="{FF2B5EF4-FFF2-40B4-BE49-F238E27FC236}">
              <a16:creationId xmlns:a16="http://schemas.microsoft.com/office/drawing/2014/main" id="{1287D230-E85C-41F6-AC03-12C8065534DF}"/>
            </a:ext>
          </a:extLst>
        </xdr:cNvPr>
        <xdr:cNvGrpSpPr/>
      </xdr:nvGrpSpPr>
      <xdr:grpSpPr>
        <a:xfrm>
          <a:off x="552881" y="10817736"/>
          <a:ext cx="3838143" cy="354864"/>
          <a:chOff x="552881" y="11287636"/>
          <a:chExt cx="3800043" cy="364389"/>
        </a:xfrm>
      </xdr:grpSpPr>
      <xdr:sp macro="" textlink="">
        <xdr:nvSpPr>
          <xdr:cNvPr id="93" name="Step" descr="Advanced IF statements, hyperlinked to web&#10;">
            <a:hlinkClick xmlns:r="http://schemas.openxmlformats.org/officeDocument/2006/relationships" r:id="rId14" tooltip="Select to learn all about evaluating nested formulas one step at a time on the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Evaluate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nested formula one step at a time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phic 22" descr="Arrow">
            <a:hlinkClick xmlns:r="http://schemas.openxmlformats.org/officeDocument/2006/relationships" r:id="rId14" tooltip="Select to learn more from the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9309411" cy="4097099"/>
    <xdr:grpSp>
      <xdr:nvGrpSpPr>
        <xdr:cNvPr id="32" name="Group 31">
          <a:extLst>
            <a:ext uri="{FF2B5EF4-FFF2-40B4-BE49-F238E27FC236}">
              <a16:creationId xmlns:a16="http://schemas.microsoft.com/office/drawing/2014/main" id="{6725C923-6B3B-4CCA-98A0-990F1C1B87A8}"/>
            </a:ext>
          </a:extLst>
        </xdr:cNvPr>
        <xdr:cNvGrpSpPr/>
      </xdr:nvGrpSpPr>
      <xdr:grpSpPr>
        <a:xfrm>
          <a:off x="330201" y="349250"/>
          <a:ext cx="9309411" cy="4097099"/>
          <a:chOff x="171451" y="285750"/>
          <a:chExt cx="9309411" cy="4097099"/>
        </a:xfrm>
      </xdr:grpSpPr>
      <xdr:grpSp>
        <xdr:nvGrpSpPr>
          <xdr:cNvPr id="13" name="Group 12">
            <a:extLst>
              <a:ext uri="{FF2B5EF4-FFF2-40B4-BE49-F238E27FC236}">
                <a16:creationId xmlns:a16="http://schemas.microsoft.com/office/drawing/2014/main" id="{3FA7D425-D370-44B8-8FA4-045B5D6E310A}"/>
              </a:ext>
            </a:extLst>
          </xdr:cNvPr>
          <xdr:cNvGrpSpPr/>
        </xdr:nvGrpSpPr>
        <xdr:grpSpPr>
          <a:xfrm>
            <a:off x="171451" y="285750"/>
            <a:ext cx="9309411" cy="4097099"/>
            <a:chOff x="171451" y="285750"/>
            <a:chExt cx="9309411" cy="4097099"/>
          </a:xfrm>
        </xdr:grpSpPr>
        <xdr:sp macro="" textlink="">
          <xdr:nvSpPr>
            <xdr:cNvPr id="30" name="Rectangle 29" descr="Background">
              <a:extLst>
                <a:ext uri="{FF2B5EF4-FFF2-40B4-BE49-F238E27FC236}">
                  <a16:creationId xmlns:a16="http://schemas.microsoft.com/office/drawing/2014/main" id="{7626CA03-671C-4586-BB83-B5B27BDAF61D}"/>
                </a:ext>
              </a:extLst>
            </xdr:cNvPr>
            <xdr:cNvSpPr/>
          </xdr:nvSpPr>
          <xdr:spPr>
            <a:xfrm>
              <a:off x="171451" y="285750"/>
              <a:ext cx="9299853" cy="3731895"/>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descr="Background">
              <a:extLst>
                <a:ext uri="{FF2B5EF4-FFF2-40B4-BE49-F238E27FC236}">
                  <a16:creationId xmlns:a16="http://schemas.microsoft.com/office/drawing/2014/main" id="{0EF2E102-5A65-4310-A323-6E9410B364FE}"/>
                </a:ext>
              </a:extLst>
            </xdr:cNvPr>
            <xdr:cNvSpPr/>
          </xdr:nvSpPr>
          <xdr:spPr>
            <a:xfrm>
              <a:off x="171451" y="1332861"/>
              <a:ext cx="9309411" cy="30499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Welcome Message" descr="Keep going. There are lots more ways to simplify your work:">
            <a:extLst>
              <a:ext uri="{FF2B5EF4-FFF2-40B4-BE49-F238E27FC236}">
                <a16:creationId xmlns:a16="http://schemas.microsoft.com/office/drawing/2014/main" id="{914889AE-4E16-4A8A-A641-A17A3C6BFA28}"/>
              </a:ext>
            </a:extLst>
          </xdr:cNvPr>
          <xdr:cNvSpPr txBox="1"/>
        </xdr:nvSpPr>
        <xdr:spPr>
          <a:xfrm>
            <a:off x="780726" y="19224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Welcome Message" descr="More questions about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22" name="TextBox 21" descr="Learn more">
            <a:hlinkClick xmlns:r="http://schemas.openxmlformats.org/officeDocument/2006/relationships" r:id="rId1" tooltip="Learn more from LinkedIn Learning on the web"/>
            <a:extLst>
              <a:ext uri="{FF2B5EF4-FFF2-40B4-BE49-F238E27FC236}">
                <a16:creationId xmlns:a16="http://schemas.microsoft.com/office/drawing/2014/main" id="{BFBF1103-7F5C-4C45-8A78-4D0182CE11B2}"/>
              </a:ext>
            </a:extLst>
          </xdr:cNvPr>
          <xdr:cNvSpPr txBox="1"/>
        </xdr:nvSpPr>
        <xdr:spPr>
          <a:xfrm>
            <a:off x="2038350"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3" name="TextBox 22" descr="Learn more">
            <a:hlinkClick xmlns:r="http://schemas.openxmlformats.org/officeDocument/2006/relationships" r:id="rId2" tooltip="Learn more about the Excel Community on the web"/>
            <a:extLst>
              <a:ext uri="{FF2B5EF4-FFF2-40B4-BE49-F238E27FC236}">
                <a16:creationId xmlns:a16="http://schemas.microsoft.com/office/drawing/2014/main" id="{0E4F3BD9-1086-4455-B51C-A8936225A3CC}"/>
              </a:ext>
            </a:extLst>
          </xdr:cNvPr>
          <xdr:cNvSpPr txBox="1"/>
        </xdr:nvSpPr>
        <xdr:spPr>
          <a:xfrm>
            <a:off x="4891548"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Box 23" descr="Learn more">
            <a:hlinkClick xmlns:r="http://schemas.openxmlformats.org/officeDocument/2006/relationships" r:id="rId3" tooltip="Learn more about what's new in Excel on the web"/>
            <a:extLst>
              <a:ext uri="{FF2B5EF4-FFF2-40B4-BE49-F238E27FC236}">
                <a16:creationId xmlns:a16="http://schemas.microsoft.com/office/drawing/2014/main" id="{C99A8BC1-9314-4FC6-B158-3CC6B224F07E}"/>
              </a:ext>
            </a:extLst>
          </xdr:cNvPr>
          <xdr:cNvSpPr txBox="1"/>
        </xdr:nvSpPr>
        <xdr:spPr>
          <a:xfrm>
            <a:off x="7805492" y="33778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Box 24" descr="Community&#10;Ask questions and connect with other Excel fans">
            <a:hlinkClick xmlns:r="http://schemas.openxmlformats.org/officeDocument/2006/relationships" r:id="rId2" tooltip="Learn more about the Excel community on the web"/>
            <a:extLst>
              <a:ext uri="{FF2B5EF4-FFF2-40B4-BE49-F238E27FC236}">
                <a16:creationId xmlns:a16="http://schemas.microsoft.com/office/drawing/2014/main" id="{1293751F-7023-4F3D-A3F2-7A62FD5D2D64}"/>
              </a:ext>
            </a:extLst>
          </xdr:cNvPr>
          <xdr:cNvSpPr txBox="1"/>
        </xdr:nvSpPr>
        <xdr:spPr>
          <a:xfrm>
            <a:off x="4891548" y="23717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26" name="TextBox 25" descr="LinkedIn Learning&#10;Video courses for all levels—from beginner to advanced. Take at your own pace">
            <a:hlinkClick xmlns:r="http://schemas.openxmlformats.org/officeDocument/2006/relationships" r:id="rId1" tooltip="Learn more from LinkedIn Learning on the web"/>
            <a:extLst>
              <a:ext uri="{FF2B5EF4-FFF2-40B4-BE49-F238E27FC236}">
                <a16:creationId xmlns:a16="http://schemas.microsoft.com/office/drawing/2014/main" id="{ABA3844E-6077-4C10-A9E2-A3F7664F43A7}"/>
              </a:ext>
            </a:extLst>
          </xdr:cNvPr>
          <xdr:cNvSpPr txBox="1"/>
        </xdr:nvSpPr>
        <xdr:spPr>
          <a:xfrm>
            <a:off x="2038350" y="23698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27" name="Picture 26" descr="Computer">
            <a:hlinkClick xmlns:r="http://schemas.openxmlformats.org/officeDocument/2006/relationships" r:id="rId1" tooltip="Learn more from LinkedIn Learning on the web"/>
            <a:extLst>
              <a:ext uri="{FF2B5EF4-FFF2-40B4-BE49-F238E27FC236}">
                <a16:creationId xmlns:a16="http://schemas.microsoft.com/office/drawing/2014/main" id="{C1227E9C-C4C3-4ABA-B6D7-B63CC46C763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a:stretch/>
        </xdr:blipFill>
        <xdr:spPr>
          <a:xfrm>
            <a:off x="1104901" y="2601979"/>
            <a:ext cx="895350" cy="600076"/>
          </a:xfrm>
          <a:prstGeom prst="rect">
            <a:avLst/>
          </a:prstGeom>
        </xdr:spPr>
      </xdr:pic>
      <xdr:sp macro="" textlink="">
        <xdr:nvSpPr>
          <xdr:cNvPr id="28" name="TextBox 27" descr="What else is new?&#10;Office 365 subscribers get continual updates and new features">
            <a:hlinkClick xmlns:r="http://schemas.openxmlformats.org/officeDocument/2006/relationships" r:id="rId3" tooltip="Learn more about what's new in Excel on the web"/>
            <a:extLst>
              <a:ext uri="{FF2B5EF4-FFF2-40B4-BE49-F238E27FC236}">
                <a16:creationId xmlns:a16="http://schemas.microsoft.com/office/drawing/2014/main" id="{ECCFA6AB-0C67-4817-85A5-BD3EDB6C982F}"/>
              </a:ext>
            </a:extLst>
          </xdr:cNvPr>
          <xdr:cNvSpPr txBox="1"/>
        </xdr:nvSpPr>
        <xdr:spPr>
          <a:xfrm>
            <a:off x="7753351" y="23717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Picture 28" descr="Community">
            <a:hlinkClick xmlns:r="http://schemas.openxmlformats.org/officeDocument/2006/relationships" r:id="rId2" tooltip="Learn more from the Excel community on the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5"/>
          <a:stretch>
            <a:fillRect/>
          </a:stretch>
        </xdr:blipFill>
        <xdr:spPr>
          <a:xfrm>
            <a:off x="3952875" y="2514716"/>
            <a:ext cx="926984" cy="774603"/>
          </a:xfrm>
          <a:prstGeom prst="rect">
            <a:avLst/>
          </a:prstGeom>
        </xdr:spPr>
      </xdr:pic>
    </xdr:grpSp>
    <xdr:clientData/>
  </xdr:oneCellAnchor>
  <xdr:oneCellAnchor>
    <xdr:from>
      <xdr:col>1</xdr:col>
      <xdr:colOff>6288963</xdr:colOff>
      <xdr:row>11</xdr:row>
      <xdr:rowOff>75852</xdr:rowOff>
    </xdr:from>
    <xdr:ext cx="974505" cy="786961"/>
    <xdr:grpSp>
      <xdr:nvGrpSpPr>
        <xdr:cNvPr id="5" name="Group 4" descr="What else is new?">
          <a:hlinkClick xmlns:r="http://schemas.openxmlformats.org/officeDocument/2006/relationships" r:id="rId3" tooltip="Learn more about what's new in Excel on the web"/>
          <a:extLst>
            <a:ext uri="{FF2B5EF4-FFF2-40B4-BE49-F238E27FC236}">
              <a16:creationId xmlns:a16="http://schemas.microsoft.com/office/drawing/2014/main" id="{C26483B0-64DC-4BE9-92D8-7D9943F8404A}"/>
            </a:ext>
          </a:extLst>
        </xdr:cNvPr>
        <xdr:cNvGrpSpPr/>
      </xdr:nvGrpSpPr>
      <xdr:grpSpPr>
        <a:xfrm>
          <a:off x="6908088" y="2742852"/>
          <a:ext cx="974505" cy="786961"/>
          <a:chOff x="6717588" y="3592566"/>
          <a:chExt cx="974505" cy="786961"/>
        </a:xfrm>
      </xdr:grpSpPr>
      <xdr:pic>
        <xdr:nvPicPr>
          <xdr:cNvPr id="6" name="Graphic 5" descr="Newspaper">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73201" y="3769928"/>
            <a:ext cx="669283" cy="609599"/>
          </a:xfrm>
          <a:prstGeom prst="rect">
            <a:avLst/>
          </a:prstGeom>
        </xdr:spPr>
      </xdr:pic>
      <xdr:grpSp>
        <xdr:nvGrpSpPr>
          <xdr:cNvPr id="7" name="Group 6" descr="Radiating lines">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Straight Connector 7" descr="Lin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descr="Lin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descr="Lin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Lin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descr="Lin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016FD-C321-4CFD-A64E-8EB60DC55068}">
  <we:reference id="db18cc72-1a17-45df-b60e-7ffb655e8af5"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heetViews>
  <sheetFormatPr defaultColWidth="11.08984375" defaultRowHeight="20.25" customHeight="1" x14ac:dyDescent="0.35"/>
  <cols>
    <col min="1" max="1" width="129.6328125" style="1" customWidth="1"/>
    <col min="2" max="2" width="3.54296875" style="1" customWidth="1"/>
    <col min="3" max="16384" width="11.08984375" style="1"/>
  </cols>
  <sheetData>
    <row r="1" spans="1:1" ht="20.25" customHeight="1" x14ac:dyDescent="1.9">
      <c r="A1" s="70"/>
    </row>
    <row r="2" spans="1:1" ht="102" customHeight="1" x14ac:dyDescent="1.9">
      <c r="A2" s="70" t="s">
        <v>294</v>
      </c>
    </row>
    <row r="3" spans="1:1" ht="44" x14ac:dyDescent="0.5">
      <c r="A3" s="2" t="s">
        <v>293</v>
      </c>
    </row>
    <row r="4" spans="1:1" ht="264" customHeight="1" x14ac:dyDescent="0.35">
      <c r="A4" s="3" t="s">
        <v>0</v>
      </c>
    </row>
    <row r="5" spans="1:1" ht="20.25" customHeight="1" x14ac:dyDescent="0.5">
      <c r="A5" s="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topLeftCell="B47" zoomScaleNormal="100" workbookViewId="0">
      <selection activeCell="K43" sqref="K43"/>
    </sheetView>
  </sheetViews>
  <sheetFormatPr defaultColWidth="9.08984375" defaultRowHeight="14.5" x14ac:dyDescent="0.35"/>
  <cols>
    <col min="1" max="1" width="12.6328125" style="29" customWidth="1"/>
    <col min="2" max="2" width="82.90625" style="23" customWidth="1"/>
    <col min="3" max="3" width="15.6328125" style="23" bestFit="1" customWidth="1"/>
    <col min="4" max="4" width="2.36328125" style="23" customWidth="1"/>
    <col min="5" max="5" width="18" style="23" bestFit="1" customWidth="1"/>
    <col min="6" max="6" width="15.6328125" style="23" customWidth="1"/>
    <col min="7" max="7" width="13.36328125" style="23" customWidth="1"/>
    <col min="8" max="10" width="9.08984375" style="23"/>
    <col min="11" max="11" width="9.08984375" style="23" customWidth="1"/>
    <col min="12" max="16384" width="9.08984375" style="23"/>
  </cols>
  <sheetData>
    <row r="1" spans="1:7" ht="60" customHeight="1" x14ac:dyDescent="0.35">
      <c r="A1" s="29" t="s">
        <v>130</v>
      </c>
      <c r="C1" s="75"/>
      <c r="D1" s="76"/>
      <c r="E1" s="76"/>
      <c r="F1" s="76"/>
    </row>
    <row r="2" spans="1:7" ht="15" thickBot="1" x14ac:dyDescent="0.4">
      <c r="A2" s="29" t="s">
        <v>131</v>
      </c>
      <c r="C2" s="77" t="s">
        <v>124</v>
      </c>
      <c r="E2" s="7" t="s">
        <v>296</v>
      </c>
      <c r="F2" s="8" t="s">
        <v>295</v>
      </c>
      <c r="G2" s="8" t="s">
        <v>297</v>
      </c>
    </row>
    <row r="3" spans="1:7" ht="15.5" thickTop="1" thickBot="1" x14ac:dyDescent="0.4">
      <c r="A3" s="29" t="s">
        <v>132</v>
      </c>
      <c r="C3" s="95">
        <v>5</v>
      </c>
      <c r="E3" s="108" t="s">
        <v>125</v>
      </c>
      <c r="F3" s="107"/>
      <c r="G3" s="109">
        <f>C3+C4</f>
        <v>7</v>
      </c>
    </row>
    <row r="4" spans="1:7" ht="15.5" thickTop="1" thickBot="1" x14ac:dyDescent="0.4">
      <c r="A4" s="29" t="s">
        <v>133</v>
      </c>
      <c r="C4" s="95">
        <v>2</v>
      </c>
      <c r="E4" s="108" t="s">
        <v>126</v>
      </c>
      <c r="F4" s="107"/>
      <c r="G4" s="109">
        <f>C3-C4</f>
        <v>3</v>
      </c>
    </row>
    <row r="5" spans="1:7" ht="15" thickTop="1" x14ac:dyDescent="0.35">
      <c r="A5" s="29" t="s">
        <v>134</v>
      </c>
      <c r="E5" s="108" t="s">
        <v>127</v>
      </c>
      <c r="F5" s="107"/>
      <c r="G5" s="109">
        <f>C3*C4</f>
        <v>10</v>
      </c>
    </row>
    <row r="6" spans="1:7" ht="15" thickBot="1" x14ac:dyDescent="0.4">
      <c r="A6" s="29" t="s">
        <v>135</v>
      </c>
      <c r="E6" s="108" t="s">
        <v>128</v>
      </c>
      <c r="F6" s="107"/>
      <c r="G6" s="109">
        <f>C3/C4</f>
        <v>2.5</v>
      </c>
    </row>
    <row r="7" spans="1:7" ht="15" customHeight="1" thickTop="1" thickBot="1" x14ac:dyDescent="0.4">
      <c r="A7" s="29" t="s">
        <v>152</v>
      </c>
      <c r="E7" s="108" t="s">
        <v>129</v>
      </c>
      <c r="F7" s="110">
        <f>C3^C4</f>
        <v>25</v>
      </c>
      <c r="G7" s="109">
        <f>C3^C4</f>
        <v>25</v>
      </c>
    </row>
    <row r="8" spans="1:7" ht="15" thickTop="1" x14ac:dyDescent="0.35">
      <c r="A8" s="29" t="s">
        <v>153</v>
      </c>
    </row>
    <row r="9" spans="1:7" x14ac:dyDescent="0.35">
      <c r="A9" s="29" t="s">
        <v>136</v>
      </c>
    </row>
    <row r="10" spans="1:7" x14ac:dyDescent="0.35">
      <c r="A10" s="29" t="s">
        <v>137</v>
      </c>
    </row>
    <row r="11" spans="1:7" x14ac:dyDescent="0.35">
      <c r="A11" s="29" t="s">
        <v>138</v>
      </c>
    </row>
    <row r="12" spans="1:7" x14ac:dyDescent="0.35">
      <c r="A12" s="29" t="s">
        <v>139</v>
      </c>
    </row>
    <row r="13" spans="1:7" ht="15" customHeight="1" x14ac:dyDescent="0.35">
      <c r="A13" s="31" t="s">
        <v>312</v>
      </c>
    </row>
    <row r="14" spans="1:7" x14ac:dyDescent="0.35">
      <c r="A14" s="29" t="s">
        <v>140</v>
      </c>
    </row>
    <row r="15" spans="1:7" x14ac:dyDescent="0.35">
      <c r="A15" s="29" t="s">
        <v>141</v>
      </c>
    </row>
    <row r="16" spans="1:7" x14ac:dyDescent="0.35">
      <c r="A16" s="29" t="s">
        <v>142</v>
      </c>
    </row>
    <row r="17" spans="1:7" x14ac:dyDescent="0.35">
      <c r="A17" s="29" t="s">
        <v>154</v>
      </c>
    </row>
    <row r="18" spans="1:7" x14ac:dyDescent="0.35">
      <c r="A18" s="29" t="s">
        <v>143</v>
      </c>
    </row>
    <row r="19" spans="1:7" x14ac:dyDescent="0.35">
      <c r="A19" s="29" t="s">
        <v>144</v>
      </c>
    </row>
    <row r="20" spans="1:7" x14ac:dyDescent="0.35">
      <c r="A20" s="29" t="s">
        <v>145</v>
      </c>
    </row>
    <row r="21" spans="1:7" ht="15" customHeight="1" x14ac:dyDescent="0.35">
      <c r="A21" s="31" t="s">
        <v>291</v>
      </c>
    </row>
    <row r="22" spans="1:7" x14ac:dyDescent="0.35">
      <c r="A22" s="29" t="s">
        <v>146</v>
      </c>
    </row>
    <row r="23" spans="1:7" x14ac:dyDescent="0.35">
      <c r="A23" s="29" t="s">
        <v>147</v>
      </c>
    </row>
    <row r="24" spans="1:7" x14ac:dyDescent="0.35">
      <c r="A24" s="29" t="s">
        <v>30</v>
      </c>
    </row>
    <row r="25" spans="1:7" ht="32.5" x14ac:dyDescent="0.35">
      <c r="A25" s="29" t="s">
        <v>148</v>
      </c>
      <c r="C25" s="75"/>
      <c r="D25" s="76"/>
      <c r="E25" s="76"/>
      <c r="F25" s="76"/>
      <c r="G25" s="76"/>
    </row>
    <row r="26" spans="1:7" x14ac:dyDescent="0.35">
      <c r="A26" s="29" t="s">
        <v>149</v>
      </c>
    </row>
    <row r="27" spans="1:7" x14ac:dyDescent="0.35">
      <c r="A27" s="29" t="s">
        <v>150</v>
      </c>
    </row>
    <row r="28" spans="1:7" ht="26" x14ac:dyDescent="0.6">
      <c r="A28" s="29" t="s">
        <v>151</v>
      </c>
      <c r="E28" s="67"/>
    </row>
    <row r="29" spans="1:7" x14ac:dyDescent="0.35">
      <c r="A29" s="29" t="s">
        <v>33</v>
      </c>
    </row>
    <row r="40" spans="10:14" x14ac:dyDescent="0.35">
      <c r="J40" s="8" t="s">
        <v>81</v>
      </c>
    </row>
    <row r="41" spans="10:14" x14ac:dyDescent="0.35">
      <c r="J41" s="68">
        <v>4</v>
      </c>
    </row>
    <row r="42" spans="10:14" x14ac:dyDescent="0.35">
      <c r="J42" s="68">
        <v>8</v>
      </c>
    </row>
    <row r="43" spans="10:14" x14ac:dyDescent="0.35">
      <c r="J43" s="66">
        <f>SUM(J41:J42)</f>
        <v>12</v>
      </c>
      <c r="N43"/>
    </row>
    <row r="46" spans="10:14" x14ac:dyDescent="0.35">
      <c r="L46"/>
      <c r="M46"/>
    </row>
    <row r="64" spans="7:7" x14ac:dyDescent="0.35">
      <c r="G64" s="69"/>
    </row>
    <row r="65" spans="7:7" x14ac:dyDescent="0.35">
      <c r="G65" s="69"/>
    </row>
    <row r="66" spans="7:7" x14ac:dyDescent="0.35">
      <c r="G66" s="69"/>
    </row>
    <row r="67" spans="7:7" x14ac:dyDescent="0.35">
      <c r="G67" s="69"/>
    </row>
    <row r="86" ht="17.399999999999999" customHeight="1" x14ac:dyDescent="0.35"/>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zoomScaleNormal="100" zoomScalePageLayoutView="125" workbookViewId="0">
      <selection activeCell="C68" sqref="C68"/>
    </sheetView>
  </sheetViews>
  <sheetFormatPr defaultColWidth="8.90625" defaultRowHeight="15" customHeight="1" x14ac:dyDescent="0.35"/>
  <cols>
    <col min="1" max="1" width="12.6328125" style="78" customWidth="1"/>
    <col min="2" max="2" width="82.90625" style="82" customWidth="1"/>
    <col min="3" max="4" width="13.36328125" style="82" customWidth="1"/>
    <col min="5" max="5" width="2.36328125" style="82" customWidth="1"/>
    <col min="6" max="6" width="16" style="82" bestFit="1" customWidth="1"/>
    <col min="7" max="7" width="13.36328125" style="82" customWidth="1"/>
    <col min="8" max="8" width="8.90625" style="82"/>
    <col min="9" max="9" width="9.54296875" style="82" bestFit="1" customWidth="1"/>
    <col min="10" max="16384" width="8.90625" style="82"/>
  </cols>
  <sheetData>
    <row r="1" spans="1:13" ht="60" customHeight="1" x14ac:dyDescent="0.75">
      <c r="A1" s="9" t="s">
        <v>155</v>
      </c>
      <c r="B1" s="79"/>
      <c r="C1" s="80"/>
      <c r="D1" s="81"/>
      <c r="E1" s="81"/>
      <c r="F1" s="81"/>
      <c r="G1" s="81"/>
    </row>
    <row r="2" spans="1:13" ht="15" customHeight="1" x14ac:dyDescent="0.35">
      <c r="A2" s="78" t="s">
        <v>156</v>
      </c>
      <c r="C2" s="83" t="s">
        <v>1</v>
      </c>
      <c r="D2" s="84" t="s">
        <v>2</v>
      </c>
      <c r="F2" s="83" t="s">
        <v>3</v>
      </c>
      <c r="G2" s="84" t="s">
        <v>2</v>
      </c>
    </row>
    <row r="3" spans="1:13" ht="15" customHeight="1" x14ac:dyDescent="0.35">
      <c r="A3" s="44" t="s">
        <v>292</v>
      </c>
      <c r="B3" s="85"/>
      <c r="C3" s="112" t="s">
        <v>4</v>
      </c>
      <c r="D3" s="112">
        <v>50</v>
      </c>
      <c r="F3" s="112" t="s">
        <v>5</v>
      </c>
      <c r="G3" s="112">
        <v>50</v>
      </c>
      <c r="I3" s="133"/>
    </row>
    <row r="4" spans="1:13" ht="15" customHeight="1" x14ac:dyDescent="0.35">
      <c r="A4" s="78" t="s">
        <v>157</v>
      </c>
      <c r="C4" s="112" t="s">
        <v>6</v>
      </c>
      <c r="D4" s="112">
        <v>20</v>
      </c>
      <c r="E4" s="86"/>
      <c r="F4" s="112" t="s">
        <v>7</v>
      </c>
      <c r="G4" s="112">
        <v>30</v>
      </c>
    </row>
    <row r="5" spans="1:13" s="86" customFormat="1" ht="15" customHeight="1" x14ac:dyDescent="0.35">
      <c r="A5" s="9" t="s">
        <v>271</v>
      </c>
      <c r="C5" s="112" t="s">
        <v>8</v>
      </c>
      <c r="D5" s="112">
        <v>60</v>
      </c>
      <c r="F5" s="112" t="s">
        <v>9</v>
      </c>
      <c r="G5" s="112">
        <v>10</v>
      </c>
    </row>
    <row r="6" spans="1:13" s="86" customFormat="1" ht="15" customHeight="1" x14ac:dyDescent="0.35">
      <c r="A6" s="78" t="s">
        <v>136</v>
      </c>
      <c r="B6" s="87"/>
      <c r="C6" s="112" t="s">
        <v>10</v>
      </c>
      <c r="D6" s="113">
        <v>40</v>
      </c>
      <c r="F6" s="112" t="s">
        <v>11</v>
      </c>
      <c r="G6" s="113">
        <v>50</v>
      </c>
    </row>
    <row r="7" spans="1:13" s="86" customFormat="1" ht="15" customHeight="1" x14ac:dyDescent="0.35">
      <c r="A7" s="78" t="s">
        <v>158</v>
      </c>
      <c r="C7" s="130" t="s">
        <v>300</v>
      </c>
      <c r="D7" s="114"/>
      <c r="F7" s="130" t="s">
        <v>300</v>
      </c>
      <c r="G7" s="114"/>
      <c r="M7" s="88"/>
    </row>
    <row r="8" spans="1:13" s="86" customFormat="1" ht="15" customHeight="1" x14ac:dyDescent="0.35">
      <c r="A8" s="78" t="s">
        <v>137</v>
      </c>
      <c r="M8" s="88"/>
    </row>
    <row r="9" spans="1:13" s="86" customFormat="1" ht="15" customHeight="1" x14ac:dyDescent="0.35">
      <c r="A9" s="78" t="s">
        <v>159</v>
      </c>
      <c r="C9" s="83" t="s">
        <v>12</v>
      </c>
      <c r="D9" s="84" t="s">
        <v>2</v>
      </c>
      <c r="F9" s="83" t="s">
        <v>12</v>
      </c>
      <c r="G9" s="84" t="s">
        <v>2</v>
      </c>
      <c r="M9" s="88"/>
    </row>
    <row r="10" spans="1:13" s="86" customFormat="1" ht="15" customHeight="1" x14ac:dyDescent="0.45">
      <c r="A10" s="89" t="s">
        <v>160</v>
      </c>
      <c r="C10" s="112" t="s">
        <v>13</v>
      </c>
      <c r="D10" s="112">
        <v>50</v>
      </c>
      <c r="F10" s="112" t="s">
        <v>13</v>
      </c>
      <c r="G10" s="112">
        <v>50</v>
      </c>
      <c r="M10" s="88"/>
    </row>
    <row r="11" spans="1:13" s="86" customFormat="1" ht="15" customHeight="1" x14ac:dyDescent="0.35">
      <c r="A11" s="78" t="s">
        <v>161</v>
      </c>
      <c r="C11" s="112" t="s">
        <v>14</v>
      </c>
      <c r="D11" s="112">
        <v>100</v>
      </c>
      <c r="F11" s="112" t="s">
        <v>14</v>
      </c>
      <c r="G11" s="112">
        <v>100</v>
      </c>
      <c r="M11" s="88"/>
    </row>
    <row r="12" spans="1:13" s="86" customFormat="1" ht="15" customHeight="1" x14ac:dyDescent="0.35">
      <c r="A12" s="78" t="s">
        <v>162</v>
      </c>
      <c r="C12" s="112" t="s">
        <v>15</v>
      </c>
      <c r="D12" s="112">
        <v>40</v>
      </c>
      <c r="F12" s="112" t="s">
        <v>15</v>
      </c>
      <c r="G12" s="112">
        <v>40</v>
      </c>
      <c r="M12" s="88"/>
    </row>
    <row r="13" spans="1:13" s="86" customFormat="1" ht="15" customHeight="1" x14ac:dyDescent="0.35">
      <c r="A13" s="78" t="s">
        <v>163</v>
      </c>
      <c r="C13" s="112" t="s">
        <v>16</v>
      </c>
      <c r="D13" s="112">
        <v>50</v>
      </c>
      <c r="F13" s="112" t="s">
        <v>16</v>
      </c>
      <c r="G13" s="112">
        <v>50</v>
      </c>
      <c r="M13" s="88"/>
    </row>
    <row r="14" spans="1:13" s="86" customFormat="1" ht="15" customHeight="1" thickBot="1" x14ac:dyDescent="0.4">
      <c r="A14" s="132" t="s">
        <v>311</v>
      </c>
      <c r="C14" s="112" t="s">
        <v>17</v>
      </c>
      <c r="D14" s="112">
        <v>20</v>
      </c>
      <c r="F14" s="112" t="s">
        <v>17</v>
      </c>
      <c r="G14" s="112">
        <v>20</v>
      </c>
      <c r="M14" s="88"/>
    </row>
    <row r="15" spans="1:13" s="86" customFormat="1" ht="15" customHeight="1" thickTop="1" thickBot="1" x14ac:dyDescent="0.4">
      <c r="A15" s="78" t="s">
        <v>30</v>
      </c>
      <c r="C15" s="130" t="s">
        <v>300</v>
      </c>
      <c r="D15" s="111"/>
      <c r="F15" s="130" t="s">
        <v>301</v>
      </c>
      <c r="G15" s="90"/>
      <c r="M15" s="88"/>
    </row>
    <row r="16" spans="1:13" s="86" customFormat="1" ht="15" customHeight="1" thickTop="1" x14ac:dyDescent="0.35">
      <c r="A16" s="78" t="s">
        <v>37</v>
      </c>
      <c r="M16" s="88"/>
    </row>
    <row r="17" spans="1:13" s="86" customFormat="1" ht="15" customHeight="1" x14ac:dyDescent="0.35">
      <c r="A17" s="78" t="s">
        <v>164</v>
      </c>
      <c r="M17" s="88"/>
    </row>
    <row r="18" spans="1:13" s="86" customFormat="1" ht="15" customHeight="1" x14ac:dyDescent="0.35">
      <c r="A18" s="78" t="s">
        <v>36</v>
      </c>
      <c r="M18" s="88"/>
    </row>
    <row r="19" spans="1:13" s="86" customFormat="1" ht="15" customHeight="1" x14ac:dyDescent="0.35">
      <c r="A19" s="78" t="s">
        <v>33</v>
      </c>
      <c r="C19" s="88"/>
      <c r="M19" s="88"/>
    </row>
    <row r="20" spans="1:13" s="86" customFormat="1" ht="15" customHeight="1" x14ac:dyDescent="0.35">
      <c r="A20" s="78" t="s">
        <v>165</v>
      </c>
      <c r="M20" s="88"/>
    </row>
    <row r="21" spans="1:13" s="86" customFormat="1" ht="15" customHeight="1" x14ac:dyDescent="0.35">
      <c r="A21" s="78" t="s">
        <v>137</v>
      </c>
      <c r="M21" s="88"/>
    </row>
    <row r="22" spans="1:13" s="86" customFormat="1" ht="15" customHeight="1" x14ac:dyDescent="0.35">
      <c r="A22" s="78"/>
      <c r="M22" s="88"/>
    </row>
    <row r="23" spans="1:13" s="86" customFormat="1" ht="15" customHeight="1" x14ac:dyDescent="0.35">
      <c r="A23" s="78"/>
    </row>
    <row r="26" spans="1:13" ht="15" customHeight="1" x14ac:dyDescent="0.35">
      <c r="H26" s="88"/>
    </row>
    <row r="34" spans="3:7" ht="15" customHeight="1" x14ac:dyDescent="0.35">
      <c r="C34" s="83" t="s">
        <v>1</v>
      </c>
      <c r="D34" s="84" t="s">
        <v>2</v>
      </c>
    </row>
    <row r="35" spans="3:7" ht="15" customHeight="1" x14ac:dyDescent="0.35">
      <c r="C35" s="112" t="s">
        <v>4</v>
      </c>
      <c r="D35" s="112">
        <v>50</v>
      </c>
      <c r="E35" s="86"/>
    </row>
    <row r="36" spans="3:7" ht="15" customHeight="1" x14ac:dyDescent="0.35">
      <c r="C36" s="112" t="s">
        <v>6</v>
      </c>
      <c r="D36" s="112">
        <v>20</v>
      </c>
      <c r="E36" s="86"/>
    </row>
    <row r="37" spans="3:7" ht="15" customHeight="1" x14ac:dyDescent="0.35">
      <c r="C37" s="112" t="s">
        <v>8</v>
      </c>
      <c r="D37" s="112">
        <v>60</v>
      </c>
      <c r="E37" s="86"/>
    </row>
    <row r="38" spans="3:7" ht="15" customHeight="1" x14ac:dyDescent="0.35">
      <c r="C38" s="112" t="s">
        <v>10</v>
      </c>
      <c r="D38" s="112">
        <v>40</v>
      </c>
      <c r="E38" s="86"/>
    </row>
    <row r="39" spans="3:7" ht="15" customHeight="1" x14ac:dyDescent="0.35">
      <c r="C39" s="130" t="s">
        <v>300</v>
      </c>
      <c r="D39" s="111">
        <f>SUM(D35:D38)</f>
        <v>170</v>
      </c>
      <c r="E39" s="86"/>
      <c r="F39" s="86"/>
      <c r="G39" s="86"/>
    </row>
    <row r="44" spans="3:7" ht="15" customHeight="1" x14ac:dyDescent="0.35">
      <c r="C44" s="83" t="s">
        <v>12</v>
      </c>
      <c r="D44" s="84" t="s">
        <v>2</v>
      </c>
      <c r="E44" s="86"/>
    </row>
    <row r="45" spans="3:7" ht="15" customHeight="1" x14ac:dyDescent="0.35">
      <c r="C45" s="112" t="s">
        <v>25</v>
      </c>
      <c r="D45" s="112">
        <v>20</v>
      </c>
      <c r="E45" s="86"/>
    </row>
    <row r="46" spans="3:7" ht="15" customHeight="1" x14ac:dyDescent="0.35">
      <c r="C46" s="112" t="s">
        <v>26</v>
      </c>
      <c r="D46" s="112">
        <v>10</v>
      </c>
      <c r="E46" s="86"/>
    </row>
    <row r="47" spans="3:7" ht="15" customHeight="1" x14ac:dyDescent="0.35">
      <c r="C47" s="112" t="s">
        <v>27</v>
      </c>
      <c r="D47" s="112">
        <v>10</v>
      </c>
      <c r="E47" s="86"/>
    </row>
    <row r="48" spans="3:7" ht="15" customHeight="1" x14ac:dyDescent="0.35">
      <c r="C48" s="112" t="s">
        <v>28</v>
      </c>
      <c r="D48" s="112">
        <v>40</v>
      </c>
      <c r="E48" s="86"/>
    </row>
    <row r="50" spans="4:7" ht="15" customHeight="1" x14ac:dyDescent="0.35">
      <c r="D50" s="84" t="s">
        <v>29</v>
      </c>
      <c r="F50" s="84" t="s">
        <v>307</v>
      </c>
      <c r="G50" s="84" t="s">
        <v>306</v>
      </c>
    </row>
    <row r="51" spans="4:7" ht="15" customHeight="1" x14ac:dyDescent="0.35">
      <c r="D51" s="91">
        <f>SUM(D45:D48,100)</f>
        <v>180</v>
      </c>
      <c r="F51" s="131">
        <v>100</v>
      </c>
      <c r="G51" s="131">
        <f>SUM(D45:D48,F51)</f>
        <v>180</v>
      </c>
    </row>
    <row r="68" spans="3:3" ht="15" customHeight="1" x14ac:dyDescent="0.35">
      <c r="C68" s="133"/>
    </row>
    <row r="87" spans="1:1" ht="15" customHeight="1" x14ac:dyDescent="0.35">
      <c r="A87" s="78" t="s">
        <v>33</v>
      </c>
    </row>
    <row r="88" spans="1:1" ht="15" customHeight="1" x14ac:dyDescent="0.35">
      <c r="A88" s="78" t="s">
        <v>34</v>
      </c>
    </row>
  </sheetData>
  <hyperlinks>
    <hyperlink ref="A87" r:id="rId1" tooltip="Select to learn an overview of Free Excel training online from the web"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tabSelected="1" topLeftCell="A15" workbookViewId="0">
      <selection activeCell="G15" sqref="G15"/>
    </sheetView>
  </sheetViews>
  <sheetFormatPr defaultColWidth="8.90625" defaultRowHeight="14.5" x14ac:dyDescent="0.35"/>
  <cols>
    <col min="1" max="1" width="12.6328125" style="14" customWidth="1"/>
    <col min="2" max="2" width="82.90625" style="1" customWidth="1"/>
    <col min="3" max="3" width="13.36328125" style="9" customWidth="1"/>
    <col min="4" max="4" width="13.36328125" style="1" customWidth="1"/>
    <col min="5" max="5" width="2.36328125" style="1" customWidth="1"/>
    <col min="6" max="6" width="13.36328125" style="4" customWidth="1"/>
    <col min="7" max="7" width="13.36328125" style="1" customWidth="1"/>
    <col min="8" max="16384" width="8.90625" style="1"/>
  </cols>
  <sheetData>
    <row r="1" spans="1:10" ht="60" customHeight="1" x14ac:dyDescent="0.35">
      <c r="A1" s="15" t="s">
        <v>166</v>
      </c>
      <c r="B1" s="45"/>
      <c r="C1" s="80"/>
      <c r="D1" s="92"/>
      <c r="E1" s="92"/>
      <c r="F1" s="92"/>
      <c r="G1" s="92"/>
      <c r="H1" s="45"/>
      <c r="I1" s="45"/>
      <c r="J1" s="45"/>
    </row>
    <row r="2" spans="1:10" ht="15" customHeight="1" x14ac:dyDescent="0.45">
      <c r="A2" s="89" t="s">
        <v>175</v>
      </c>
      <c r="B2" s="45"/>
      <c r="C2" s="7" t="s">
        <v>1</v>
      </c>
      <c r="D2" s="8" t="s">
        <v>2</v>
      </c>
      <c r="E2" s="47"/>
      <c r="F2" s="11" t="s">
        <v>3</v>
      </c>
      <c r="G2" s="8" t="s">
        <v>2</v>
      </c>
      <c r="H2" s="45"/>
      <c r="I2" s="45"/>
      <c r="J2" s="5"/>
    </row>
    <row r="3" spans="1:10" ht="15" customHeight="1" x14ac:dyDescent="0.45">
      <c r="A3" s="89" t="s">
        <v>176</v>
      </c>
      <c r="B3" s="45"/>
      <c r="C3" s="116" t="s">
        <v>4</v>
      </c>
      <c r="D3" s="117">
        <v>50</v>
      </c>
      <c r="E3" s="47"/>
      <c r="F3" s="118" t="s">
        <v>5</v>
      </c>
      <c r="G3" s="117">
        <v>50</v>
      </c>
      <c r="H3" s="45"/>
      <c r="I3" s="45"/>
      <c r="J3" s="5"/>
    </row>
    <row r="4" spans="1:10" ht="15" customHeight="1" x14ac:dyDescent="0.45">
      <c r="A4" s="89" t="s">
        <v>177</v>
      </c>
      <c r="B4" s="45"/>
      <c r="C4" s="116" t="s">
        <v>6</v>
      </c>
      <c r="D4" s="117">
        <v>20</v>
      </c>
      <c r="E4" s="47"/>
      <c r="F4" s="118" t="s">
        <v>7</v>
      </c>
      <c r="G4" s="117">
        <v>30</v>
      </c>
      <c r="H4" s="45"/>
      <c r="I4" s="45"/>
      <c r="J4" s="5"/>
    </row>
    <row r="5" spans="1:10" s="4" customFormat="1" ht="15" customHeight="1" x14ac:dyDescent="0.45">
      <c r="A5" s="89" t="s">
        <v>178</v>
      </c>
      <c r="B5" s="46"/>
      <c r="C5" s="116" t="s">
        <v>8</v>
      </c>
      <c r="D5" s="117">
        <v>60</v>
      </c>
      <c r="E5" s="47"/>
      <c r="F5" s="118" t="s">
        <v>9</v>
      </c>
      <c r="G5" s="117">
        <v>10</v>
      </c>
      <c r="H5" s="46"/>
      <c r="I5" s="46"/>
      <c r="J5" s="5"/>
    </row>
    <row r="6" spans="1:10" s="4" customFormat="1" ht="15" customHeight="1" x14ac:dyDescent="0.35">
      <c r="A6" s="99" t="s">
        <v>272</v>
      </c>
      <c r="B6" s="46"/>
      <c r="C6" s="116" t="s">
        <v>10</v>
      </c>
      <c r="D6" s="117">
        <v>40</v>
      </c>
      <c r="E6" s="47"/>
      <c r="F6" s="118" t="s">
        <v>11</v>
      </c>
      <c r="G6" s="117">
        <v>50</v>
      </c>
      <c r="H6" s="46"/>
      <c r="I6" s="46"/>
      <c r="J6" s="5"/>
    </row>
    <row r="7" spans="1:10" s="4" customFormat="1" ht="15" customHeight="1" x14ac:dyDescent="0.45">
      <c r="A7" s="28" t="s">
        <v>167</v>
      </c>
      <c r="B7" s="46"/>
      <c r="C7" s="10" t="s">
        <v>302</v>
      </c>
      <c r="D7" s="115"/>
      <c r="E7" s="47"/>
      <c r="F7" s="10" t="s">
        <v>302</v>
      </c>
      <c r="G7" s="115"/>
      <c r="H7" s="46"/>
      <c r="I7" s="46"/>
      <c r="J7" s="5"/>
    </row>
    <row r="8" spans="1:10" s="4" customFormat="1" ht="15" customHeight="1" x14ac:dyDescent="0.35">
      <c r="A8" s="17" t="s">
        <v>168</v>
      </c>
      <c r="B8" s="46"/>
      <c r="C8" s="46"/>
      <c r="D8" s="47"/>
      <c r="E8" s="47"/>
      <c r="F8" s="46"/>
      <c r="G8" s="47"/>
      <c r="H8" s="46"/>
      <c r="I8" s="46"/>
      <c r="J8" s="5"/>
    </row>
    <row r="9" spans="1:10" s="4" customFormat="1" ht="15" customHeight="1" x14ac:dyDescent="0.35">
      <c r="A9" s="99" t="s">
        <v>174</v>
      </c>
      <c r="B9" s="46"/>
      <c r="C9" s="7" t="s">
        <v>12</v>
      </c>
      <c r="D9" s="8" t="s">
        <v>2</v>
      </c>
      <c r="E9" s="47"/>
      <c r="F9" s="11" t="s">
        <v>12</v>
      </c>
      <c r="G9" s="8" t="s">
        <v>2</v>
      </c>
      <c r="H9" s="46"/>
      <c r="I9" s="46"/>
      <c r="J9" s="5"/>
    </row>
    <row r="10" spans="1:10" s="4" customFormat="1" ht="15" customHeight="1" x14ac:dyDescent="0.45">
      <c r="A10" s="28" t="s">
        <v>169</v>
      </c>
      <c r="B10" s="46"/>
      <c r="C10" s="116" t="s">
        <v>13</v>
      </c>
      <c r="D10" s="117">
        <v>50</v>
      </c>
      <c r="E10" s="47"/>
      <c r="F10" s="118" t="s">
        <v>13</v>
      </c>
      <c r="G10" s="117">
        <v>50</v>
      </c>
      <c r="H10" s="46"/>
      <c r="I10" s="46"/>
      <c r="J10" s="5"/>
    </row>
    <row r="11" spans="1:10" s="4" customFormat="1" ht="15" customHeight="1" x14ac:dyDescent="0.35">
      <c r="A11" s="17" t="s">
        <v>170</v>
      </c>
      <c r="B11" s="46"/>
      <c r="C11" s="116" t="s">
        <v>14</v>
      </c>
      <c r="D11" s="117">
        <v>100</v>
      </c>
      <c r="E11" s="47"/>
      <c r="F11" s="118" t="s">
        <v>14</v>
      </c>
      <c r="G11" s="117">
        <v>100</v>
      </c>
      <c r="H11" s="46"/>
      <c r="I11" s="46"/>
      <c r="J11" s="5"/>
    </row>
    <row r="12" spans="1:10" s="4" customFormat="1" ht="15" customHeight="1" x14ac:dyDescent="0.35">
      <c r="A12" s="17" t="s">
        <v>171</v>
      </c>
      <c r="B12" s="46"/>
      <c r="C12" s="116" t="s">
        <v>15</v>
      </c>
      <c r="D12" s="117">
        <v>40</v>
      </c>
      <c r="E12" s="47"/>
      <c r="F12" s="118" t="s">
        <v>15</v>
      </c>
      <c r="G12" s="117">
        <v>40</v>
      </c>
      <c r="H12" s="46"/>
      <c r="I12" s="46"/>
      <c r="J12" s="5"/>
    </row>
    <row r="13" spans="1:10" s="4" customFormat="1" ht="15" customHeight="1" x14ac:dyDescent="0.35">
      <c r="A13" s="17" t="s">
        <v>172</v>
      </c>
      <c r="B13" s="46"/>
      <c r="C13" s="116" t="s">
        <v>16</v>
      </c>
      <c r="D13" s="117">
        <v>50</v>
      </c>
      <c r="E13" s="47"/>
      <c r="F13" s="118" t="s">
        <v>16</v>
      </c>
      <c r="G13" s="117">
        <v>50</v>
      </c>
      <c r="H13" s="46"/>
      <c r="I13" s="46"/>
      <c r="J13" s="5"/>
    </row>
    <row r="14" spans="1:10" s="4" customFormat="1" ht="15" customHeight="1" thickBot="1" x14ac:dyDescent="0.4">
      <c r="A14" s="17" t="s">
        <v>173</v>
      </c>
      <c r="B14" s="46"/>
      <c r="C14" s="116" t="s">
        <v>17</v>
      </c>
      <c r="D14" s="117">
        <v>20</v>
      </c>
      <c r="E14" s="47"/>
      <c r="F14" s="118" t="s">
        <v>17</v>
      </c>
      <c r="G14" s="117">
        <v>20</v>
      </c>
      <c r="H14" s="46"/>
      <c r="I14" s="46"/>
      <c r="J14" s="46"/>
    </row>
    <row r="15" spans="1:10" s="4" customFormat="1" ht="15" customHeight="1" thickTop="1" thickBot="1" x14ac:dyDescent="0.4">
      <c r="A15" s="27"/>
      <c r="B15" s="46"/>
      <c r="C15" s="10" t="s">
        <v>302</v>
      </c>
      <c r="D15" s="115"/>
      <c r="E15" s="47"/>
      <c r="F15" s="46"/>
      <c r="G15" s="95"/>
      <c r="H15" s="46"/>
      <c r="I15" s="46"/>
      <c r="J15" s="46"/>
    </row>
    <row r="16" spans="1:10" s="4" customFormat="1" ht="15" customHeight="1" thickTop="1" x14ac:dyDescent="0.35">
      <c r="A16" s="17"/>
      <c r="B16" s="46"/>
      <c r="C16" s="46"/>
      <c r="D16" s="46"/>
      <c r="E16" s="46"/>
      <c r="F16" s="46"/>
      <c r="G16" s="46"/>
      <c r="H16" s="46"/>
      <c r="I16" s="46"/>
      <c r="J16" s="46"/>
    </row>
    <row r="17" spans="1:3" s="4" customFormat="1" ht="15" customHeight="1" x14ac:dyDescent="0.35">
      <c r="A17" s="17"/>
      <c r="B17" s="46"/>
      <c r="C17" s="9"/>
    </row>
    <row r="18" spans="1:3" s="4" customFormat="1" ht="15" customHeight="1" x14ac:dyDescent="0.35">
      <c r="A18" s="17"/>
      <c r="B18" s="46"/>
      <c r="C18" s="9"/>
    </row>
    <row r="19" spans="1:3" s="4" customFormat="1" ht="15" customHeight="1" x14ac:dyDescent="0.35">
      <c r="A19" s="17"/>
      <c r="B19" s="46"/>
      <c r="C19" s="9"/>
    </row>
    <row r="20" spans="1:3" s="4" customFormat="1" ht="15" customHeight="1" x14ac:dyDescent="0.35">
      <c r="A20" s="17"/>
      <c r="B20" s="46"/>
      <c r="C20" s="9"/>
    </row>
    <row r="21" spans="1:3" s="4" customFormat="1" ht="15" customHeight="1" x14ac:dyDescent="0.35">
      <c r="A21" s="17"/>
      <c r="B21" s="46"/>
      <c r="C21" s="9"/>
    </row>
    <row r="22" spans="1:3" s="4" customFormat="1" ht="15" customHeight="1" x14ac:dyDescent="0.35">
      <c r="A22" s="17"/>
      <c r="B22" s="46"/>
      <c r="C22" s="9"/>
    </row>
    <row r="23" spans="1:3" s="4" customFormat="1" ht="15" customHeight="1" x14ac:dyDescent="0.35">
      <c r="A23" s="17"/>
      <c r="B23" s="46"/>
      <c r="C23" s="9"/>
    </row>
    <row r="24" spans="1:3" s="4" customFormat="1" ht="15" customHeight="1" x14ac:dyDescent="0.35">
      <c r="A24" s="17"/>
      <c r="B24" s="46"/>
      <c r="C24" s="9"/>
    </row>
    <row r="25" spans="1:3" s="4" customFormat="1" ht="15" customHeight="1" x14ac:dyDescent="0.35">
      <c r="A25" s="17"/>
      <c r="B25" s="46"/>
      <c r="C25" s="9"/>
    </row>
    <row r="26" spans="1:3" s="4" customFormat="1" ht="15" customHeight="1" x14ac:dyDescent="0.35">
      <c r="A26" s="17"/>
      <c r="B26" s="46"/>
      <c r="C26" s="9"/>
    </row>
    <row r="27" spans="1:3" x14ac:dyDescent="0.35">
      <c r="A27" s="17"/>
      <c r="B27" s="45"/>
    </row>
    <row r="28" spans="1:3" x14ac:dyDescent="0.35">
      <c r="A28" s="17"/>
      <c r="B28" s="45"/>
    </row>
    <row r="29" spans="1:3" ht="15" customHeight="1" x14ac:dyDescent="0.35">
      <c r="A29" s="17"/>
      <c r="B29" s="45"/>
      <c r="C29" s="9" t="s">
        <v>18</v>
      </c>
    </row>
    <row r="30" spans="1:3" ht="15" customHeight="1" x14ac:dyDescent="0.35">
      <c r="A30" s="17"/>
      <c r="B30" s="45"/>
      <c r="C30" s="9" t="s">
        <v>19</v>
      </c>
    </row>
    <row r="31" spans="1:3" ht="15" customHeight="1" x14ac:dyDescent="0.35">
      <c r="A31" s="17"/>
      <c r="B31" s="45"/>
      <c r="C31" s="9" t="s">
        <v>20</v>
      </c>
    </row>
    <row r="32" spans="1:3" ht="15" customHeight="1" x14ac:dyDescent="0.35">
      <c r="A32" s="17"/>
      <c r="B32" s="45"/>
      <c r="C32" s="9" t="s">
        <v>21</v>
      </c>
    </row>
    <row r="33" spans="1:9" ht="15" customHeight="1" x14ac:dyDescent="0.35">
      <c r="A33" s="17"/>
      <c r="B33" s="45"/>
      <c r="C33" s="9" t="s">
        <v>22</v>
      </c>
      <c r="D33" s="45"/>
      <c r="E33" s="45"/>
      <c r="F33" s="46"/>
      <c r="G33" s="45"/>
      <c r="H33" s="45"/>
      <c r="I33" s="45"/>
    </row>
    <row r="34" spans="1:9" ht="15" customHeight="1" x14ac:dyDescent="0.35">
      <c r="A34" s="17"/>
      <c r="B34" s="45"/>
      <c r="C34" s="9" t="s">
        <v>23</v>
      </c>
      <c r="D34" s="45"/>
      <c r="E34" s="45"/>
      <c r="F34" s="46"/>
      <c r="G34" s="45"/>
      <c r="H34" s="45"/>
      <c r="I34" s="45"/>
    </row>
    <row r="35" spans="1:9" ht="15" customHeight="1" x14ac:dyDescent="0.35">
      <c r="A35" s="17"/>
      <c r="B35" s="45"/>
      <c r="C35" s="9" t="s">
        <v>24</v>
      </c>
      <c r="D35" s="45"/>
      <c r="E35" s="45"/>
      <c r="F35" s="46"/>
      <c r="G35" s="45"/>
      <c r="H35" s="45"/>
      <c r="I35" s="45"/>
    </row>
    <row r="36" spans="1:9" x14ac:dyDescent="0.35">
      <c r="A36" s="17"/>
      <c r="B36" s="45"/>
      <c r="D36" s="45"/>
      <c r="E36" s="45"/>
      <c r="F36" s="46"/>
      <c r="G36" s="45"/>
      <c r="H36" s="45"/>
      <c r="I36" s="45"/>
    </row>
    <row r="41" spans="1:9" ht="15" customHeight="1" x14ac:dyDescent="0.35">
      <c r="B41" s="45"/>
      <c r="C41" s="9" t="s">
        <v>30</v>
      </c>
      <c r="D41" s="45"/>
      <c r="E41" s="45"/>
      <c r="F41" s="46"/>
      <c r="G41" s="45"/>
      <c r="H41" s="45"/>
      <c r="I41" s="45"/>
    </row>
    <row r="42" spans="1:9" ht="15" customHeight="1" x14ac:dyDescent="0.35">
      <c r="B42" s="45"/>
      <c r="C42" s="9" t="s">
        <v>37</v>
      </c>
      <c r="D42" s="45"/>
      <c r="E42" s="45"/>
      <c r="F42" s="46"/>
      <c r="G42" s="45"/>
      <c r="H42" s="45"/>
      <c r="I42" s="45"/>
    </row>
    <row r="43" spans="1:9" ht="15" customHeight="1" x14ac:dyDescent="0.35">
      <c r="B43" s="45"/>
      <c r="C43" s="9" t="s">
        <v>31</v>
      </c>
      <c r="D43" s="45"/>
      <c r="E43" s="45"/>
      <c r="F43" s="46"/>
      <c r="G43" s="45"/>
      <c r="H43" s="45"/>
      <c r="I43" s="45"/>
    </row>
    <row r="44" spans="1:9" ht="15" customHeight="1" x14ac:dyDescent="0.35">
      <c r="B44" s="45"/>
      <c r="C44" s="9" t="s">
        <v>32</v>
      </c>
      <c r="D44" s="45"/>
      <c r="E44" s="45"/>
      <c r="F44" s="46"/>
      <c r="G44" s="45"/>
      <c r="H44" s="45"/>
      <c r="I44" s="45"/>
    </row>
    <row r="45" spans="1:9" ht="15" customHeight="1" x14ac:dyDescent="0.35">
      <c r="B45" s="45"/>
      <c r="C45" s="9" t="s">
        <v>33</v>
      </c>
      <c r="D45" s="45"/>
      <c r="E45" s="45"/>
      <c r="F45" s="46"/>
      <c r="G45" s="45"/>
      <c r="H45" s="45"/>
      <c r="I45" s="45"/>
    </row>
    <row r="46" spans="1:9" ht="15" customHeight="1" x14ac:dyDescent="0.35">
      <c r="B46" s="45"/>
      <c r="C46" s="9" t="s">
        <v>34</v>
      </c>
      <c r="D46" s="45"/>
      <c r="E46" s="45"/>
      <c r="F46" s="46"/>
      <c r="G46" s="45"/>
      <c r="H46" s="45"/>
      <c r="I46" s="45"/>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to learn an overview of Free Excel training online from the web" xr:uid="{00000000-0004-0000-0300-000003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44"/>
  <sheetViews>
    <sheetView showGridLines="0" workbookViewId="0">
      <selection activeCell="G15" sqref="G15"/>
    </sheetView>
  </sheetViews>
  <sheetFormatPr defaultColWidth="8.90625" defaultRowHeight="14.5" x14ac:dyDescent="0.35"/>
  <cols>
    <col min="1" max="1" width="12.6328125" style="18" customWidth="1"/>
    <col min="2" max="2" width="82.90625" style="1" customWidth="1"/>
    <col min="3" max="3" width="13.36328125" style="1" customWidth="1"/>
    <col min="4" max="4" width="13.36328125" style="4" customWidth="1"/>
    <col min="5" max="5" width="2.36328125" style="1" customWidth="1"/>
    <col min="6" max="7" width="13.36328125" style="1" customWidth="1"/>
    <col min="8" max="16384" width="8.90625" style="1"/>
  </cols>
  <sheetData>
    <row r="1" spans="1:9" ht="60" customHeight="1" x14ac:dyDescent="0.35">
      <c r="A1" s="18" t="s">
        <v>38</v>
      </c>
      <c r="B1" s="45"/>
      <c r="C1" s="80"/>
      <c r="D1" s="92"/>
      <c r="E1" s="92"/>
      <c r="F1" s="92"/>
      <c r="G1" s="92"/>
      <c r="H1" s="45"/>
    </row>
    <row r="2" spans="1:9" ht="15" customHeight="1" x14ac:dyDescent="0.35">
      <c r="A2" s="16" t="s">
        <v>39</v>
      </c>
      <c r="B2" s="45"/>
      <c r="C2" s="7" t="s">
        <v>1</v>
      </c>
      <c r="D2" s="8" t="s">
        <v>2</v>
      </c>
      <c r="E2" s="47"/>
      <c r="F2" s="11" t="s">
        <v>3</v>
      </c>
      <c r="G2" s="8" t="s">
        <v>2</v>
      </c>
      <c r="H2" s="5"/>
    </row>
    <row r="3" spans="1:9" ht="15" customHeight="1" x14ac:dyDescent="0.35">
      <c r="A3" s="16" t="s">
        <v>40</v>
      </c>
      <c r="B3" s="45"/>
      <c r="C3" s="116" t="s">
        <v>4</v>
      </c>
      <c r="D3" s="117">
        <v>50</v>
      </c>
      <c r="E3" s="47"/>
      <c r="F3" s="118" t="s">
        <v>5</v>
      </c>
      <c r="G3" s="117">
        <v>50</v>
      </c>
      <c r="H3" s="5"/>
    </row>
    <row r="4" spans="1:9" ht="15" customHeight="1" x14ac:dyDescent="0.35">
      <c r="A4" s="100" t="s">
        <v>179</v>
      </c>
      <c r="B4" s="45"/>
      <c r="C4" s="116" t="s">
        <v>6</v>
      </c>
      <c r="D4" s="117">
        <v>20</v>
      </c>
      <c r="E4" s="47"/>
      <c r="F4" s="118" t="s">
        <v>7</v>
      </c>
      <c r="G4" s="117">
        <v>30</v>
      </c>
      <c r="H4" s="5"/>
    </row>
    <row r="5" spans="1:9" s="4" customFormat="1" ht="15" customHeight="1" x14ac:dyDescent="0.35">
      <c r="A5" s="100" t="s">
        <v>180</v>
      </c>
      <c r="B5" s="46"/>
      <c r="C5" s="116" t="s">
        <v>8</v>
      </c>
      <c r="D5" s="117">
        <v>60</v>
      </c>
      <c r="E5" s="47"/>
      <c r="F5" s="118" t="s">
        <v>9</v>
      </c>
      <c r="G5" s="117">
        <v>10</v>
      </c>
      <c r="H5" s="5"/>
    </row>
    <row r="6" spans="1:9" s="4" customFormat="1" ht="15" customHeight="1" x14ac:dyDescent="0.35">
      <c r="A6" s="100" t="s">
        <v>181</v>
      </c>
      <c r="B6" s="46"/>
      <c r="C6" s="116" t="s">
        <v>10</v>
      </c>
      <c r="D6" s="117">
        <v>40</v>
      </c>
      <c r="E6" s="47"/>
      <c r="F6" s="118" t="s">
        <v>11</v>
      </c>
      <c r="G6" s="117">
        <v>50</v>
      </c>
      <c r="H6" s="5"/>
      <c r="I6" s="139"/>
    </row>
    <row r="7" spans="1:9" s="4" customFormat="1" ht="15" customHeight="1" x14ac:dyDescent="0.35">
      <c r="A7" s="101" t="s">
        <v>35</v>
      </c>
      <c r="B7" s="46"/>
      <c r="C7" s="10" t="s">
        <v>303</v>
      </c>
      <c r="D7" s="115"/>
      <c r="E7" s="47"/>
      <c r="F7" s="10" t="s">
        <v>304</v>
      </c>
      <c r="G7" s="115"/>
      <c r="H7" s="5"/>
    </row>
    <row r="8" spans="1:9" s="4" customFormat="1" ht="15" customHeight="1" x14ac:dyDescent="0.35">
      <c r="A8" s="17" t="s">
        <v>182</v>
      </c>
      <c r="B8" s="46"/>
      <c r="C8" s="46"/>
      <c r="D8" s="47"/>
      <c r="E8" s="47"/>
      <c r="F8" s="46"/>
      <c r="G8" s="47"/>
      <c r="H8" s="5"/>
    </row>
    <row r="9" spans="1:9" s="4" customFormat="1" ht="15" customHeight="1" x14ac:dyDescent="0.35">
      <c r="A9" s="17" t="s">
        <v>183</v>
      </c>
      <c r="B9" s="46"/>
      <c r="C9" s="7" t="s">
        <v>12</v>
      </c>
      <c r="D9" s="8" t="s">
        <v>2</v>
      </c>
      <c r="E9" s="47"/>
      <c r="F9" s="11" t="s">
        <v>12</v>
      </c>
      <c r="G9" s="8" t="s">
        <v>2</v>
      </c>
      <c r="H9" s="5"/>
    </row>
    <row r="10" spans="1:9" s="4" customFormat="1" ht="15" customHeight="1" x14ac:dyDescent="0.35">
      <c r="A10" s="16" t="s">
        <v>33</v>
      </c>
      <c r="B10" s="46"/>
      <c r="C10" s="116" t="s">
        <v>13</v>
      </c>
      <c r="D10" s="117">
        <v>50</v>
      </c>
      <c r="E10" s="47"/>
      <c r="F10" s="118" t="s">
        <v>13</v>
      </c>
      <c r="G10" s="117">
        <v>50</v>
      </c>
      <c r="H10" s="5"/>
    </row>
    <row r="11" spans="1:9" s="4" customFormat="1" ht="15" customHeight="1" x14ac:dyDescent="0.35">
      <c r="A11" s="101" t="s">
        <v>273</v>
      </c>
      <c r="B11" s="46"/>
      <c r="C11" s="116" t="s">
        <v>14</v>
      </c>
      <c r="D11" s="117">
        <v>100</v>
      </c>
      <c r="E11" s="47"/>
      <c r="F11" s="118" t="s">
        <v>14</v>
      </c>
      <c r="G11" s="117">
        <v>100</v>
      </c>
      <c r="H11" s="5"/>
    </row>
    <row r="12" spans="1:9" s="4" customFormat="1" ht="15" customHeight="1" x14ac:dyDescent="0.35">
      <c r="A12" s="17"/>
      <c r="B12" s="46"/>
      <c r="C12" s="116" t="s">
        <v>15</v>
      </c>
      <c r="D12" s="117">
        <v>40</v>
      </c>
      <c r="E12" s="47"/>
      <c r="F12" s="118" t="s">
        <v>15</v>
      </c>
      <c r="G12" s="117">
        <v>40</v>
      </c>
      <c r="H12" s="5"/>
    </row>
    <row r="13" spans="1:9" s="4" customFormat="1" ht="15" customHeight="1" x14ac:dyDescent="0.35">
      <c r="A13" s="17"/>
      <c r="B13" s="46"/>
      <c r="C13" s="116" t="s">
        <v>16</v>
      </c>
      <c r="D13" s="117">
        <v>50</v>
      </c>
      <c r="E13" s="47"/>
      <c r="F13" s="118" t="s">
        <v>16</v>
      </c>
      <c r="G13" s="117">
        <v>50</v>
      </c>
      <c r="H13" s="5"/>
    </row>
    <row r="14" spans="1:9" s="4" customFormat="1" ht="15" customHeight="1" x14ac:dyDescent="0.35">
      <c r="A14" s="17"/>
      <c r="B14" s="46"/>
      <c r="C14" s="116" t="s">
        <v>17</v>
      </c>
      <c r="D14" s="117">
        <v>20</v>
      </c>
      <c r="E14" s="47"/>
      <c r="F14" s="118" t="s">
        <v>17</v>
      </c>
      <c r="G14" s="117">
        <v>20</v>
      </c>
      <c r="H14" s="46"/>
    </row>
    <row r="15" spans="1:9" s="4" customFormat="1" ht="15" customHeight="1" x14ac:dyDescent="0.35">
      <c r="A15" s="18"/>
      <c r="B15" s="46"/>
      <c r="C15" s="10" t="s">
        <v>305</v>
      </c>
      <c r="D15" s="115"/>
      <c r="E15" s="47"/>
      <c r="F15" s="10"/>
      <c r="G15" s="115">
        <f>MIN(G10:G14,10)</f>
        <v>10</v>
      </c>
      <c r="H15" s="46"/>
    </row>
    <row r="16" spans="1:9" s="4" customFormat="1" ht="15" customHeight="1" x14ac:dyDescent="0.35">
      <c r="A16" s="18"/>
      <c r="B16" s="46"/>
      <c r="C16" s="46"/>
      <c r="D16" s="46"/>
      <c r="E16" s="46"/>
      <c r="F16" s="46"/>
      <c r="G16" s="46"/>
      <c r="H16" s="46"/>
    </row>
    <row r="17" spans="1:1" s="4" customFormat="1" ht="15" customHeight="1" x14ac:dyDescent="0.35">
      <c r="A17" s="18"/>
    </row>
    <row r="18" spans="1:1" s="4" customFormat="1" ht="15" customHeight="1" x14ac:dyDescent="0.35">
      <c r="A18" s="19"/>
    </row>
    <row r="19" spans="1:1" s="4" customFormat="1" ht="15" customHeight="1" x14ac:dyDescent="0.35">
      <c r="A19" s="16" t="s">
        <v>41</v>
      </c>
    </row>
    <row r="20" spans="1:1" s="4" customFormat="1" ht="15" customHeight="1" x14ac:dyDescent="0.35">
      <c r="A20" s="18"/>
    </row>
    <row r="21" spans="1:1" s="4" customFormat="1" ht="15" customHeight="1" x14ac:dyDescent="0.35">
      <c r="A21" s="16" t="s">
        <v>30</v>
      </c>
    </row>
    <row r="22" spans="1:1" s="4" customFormat="1" ht="15" customHeight="1" x14ac:dyDescent="0.35">
      <c r="A22" s="16" t="s">
        <v>42</v>
      </c>
    </row>
    <row r="23" spans="1:1" s="4" customFormat="1" ht="15" customHeight="1" x14ac:dyDescent="0.35">
      <c r="A23" s="16" t="s">
        <v>43</v>
      </c>
    </row>
    <row r="24" spans="1:1" s="4" customFormat="1" ht="15" customHeight="1" x14ac:dyDescent="0.35">
      <c r="A24" s="16" t="s">
        <v>32</v>
      </c>
    </row>
    <row r="25" spans="1:1" s="4" customFormat="1" ht="15" customHeight="1" x14ac:dyDescent="0.35">
      <c r="A25" s="16" t="s">
        <v>33</v>
      </c>
    </row>
    <row r="27" spans="1:1" ht="15" customHeight="1" x14ac:dyDescent="0.35"/>
    <row r="28" spans="1:1" ht="15" customHeight="1" x14ac:dyDescent="0.35"/>
    <row r="29" spans="1:1" ht="15" customHeight="1" x14ac:dyDescent="0.35"/>
    <row r="30" spans="1:1" ht="15" customHeight="1" x14ac:dyDescent="0.35"/>
    <row r="31" spans="1:1" ht="15" customHeight="1" x14ac:dyDescent="0.35"/>
    <row r="32" spans="1:1" ht="15" customHeight="1" x14ac:dyDescent="0.35"/>
    <row r="33" spans="3:7" ht="15" customHeight="1" x14ac:dyDescent="0.35">
      <c r="C33" s="45"/>
      <c r="D33" s="46"/>
      <c r="E33" s="45"/>
      <c r="F33" s="45"/>
      <c r="G33" s="45"/>
    </row>
    <row r="39" spans="3:7" ht="15" customHeight="1" x14ac:dyDescent="0.35">
      <c r="C39" s="45"/>
      <c r="D39" s="46"/>
      <c r="E39" s="45"/>
      <c r="F39" s="45"/>
      <c r="G39" s="45"/>
    </row>
    <row r="40" spans="3:7" ht="15" customHeight="1" x14ac:dyDescent="0.35">
      <c r="C40" s="45"/>
      <c r="D40" s="46"/>
      <c r="E40" s="45"/>
      <c r="F40" s="45"/>
      <c r="G40" s="45"/>
    </row>
    <row r="41" spans="3:7" ht="15" customHeight="1" x14ac:dyDescent="0.35">
      <c r="C41" s="45"/>
      <c r="D41" s="46"/>
      <c r="E41" s="45"/>
      <c r="F41" s="45"/>
      <c r="G41" s="45"/>
    </row>
    <row r="42" spans="3:7" ht="15" customHeight="1" x14ac:dyDescent="0.35">
      <c r="C42" s="45"/>
      <c r="D42" s="46"/>
      <c r="E42" s="45"/>
      <c r="F42" s="45"/>
      <c r="G42" s="45"/>
    </row>
    <row r="43" spans="3:7" ht="15" customHeight="1" x14ac:dyDescent="0.35">
      <c r="C43" s="45"/>
      <c r="D43" s="46"/>
      <c r="E43" s="45"/>
      <c r="F43" s="45"/>
      <c r="G43" s="45"/>
    </row>
    <row r="44" spans="3:7" ht="15" customHeight="1" x14ac:dyDescent="0.35">
      <c r="C44" s="45"/>
      <c r="D44" s="46"/>
      <c r="E44" s="45"/>
      <c r="F44" s="45"/>
      <c r="G44" s="45"/>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10" sqref="D10"/>
    </sheetView>
  </sheetViews>
  <sheetFormatPr defaultRowHeight="14.5" x14ac:dyDescent="0.35"/>
  <cols>
    <col min="1" max="1" width="12.6328125" customWidth="1"/>
    <col min="2" max="2" width="82.90625" customWidth="1"/>
    <col min="3" max="3" width="23" bestFit="1" customWidth="1"/>
    <col min="4" max="4" width="15.08984375" customWidth="1"/>
    <col min="6" max="6" width="11.453125" bestFit="1" customWidth="1"/>
  </cols>
  <sheetData>
    <row r="1" spans="1:6" ht="60" customHeight="1" x14ac:dyDescent="0.35">
      <c r="A1" s="29" t="s">
        <v>87</v>
      </c>
    </row>
    <row r="2" spans="1:6" x14ac:dyDescent="0.35">
      <c r="A2" s="29" t="s">
        <v>184</v>
      </c>
    </row>
    <row r="3" spans="1:6" ht="32.5" x14ac:dyDescent="0.35">
      <c r="A3" s="29" t="s">
        <v>185</v>
      </c>
      <c r="C3" s="80"/>
      <c r="D3" s="93"/>
    </row>
    <row r="4" spans="1:6" x14ac:dyDescent="0.35">
      <c r="A4" s="29" t="s">
        <v>186</v>
      </c>
    </row>
    <row r="5" spans="1:6" x14ac:dyDescent="0.35">
      <c r="A5" s="29" t="s">
        <v>187</v>
      </c>
      <c r="C5" s="32" t="s">
        <v>87</v>
      </c>
      <c r="D5" s="32"/>
    </row>
    <row r="6" spans="1:6" ht="16.5" customHeight="1" x14ac:dyDescent="0.45">
      <c r="A6" s="29" t="s">
        <v>188</v>
      </c>
      <c r="C6" s="109" t="s">
        <v>55</v>
      </c>
      <c r="D6" s="119"/>
      <c r="F6" s="102" t="str">
        <f ca="1">IF(D6=TODAY(),"You got it!","")</f>
        <v/>
      </c>
    </row>
    <row r="7" spans="1:6" ht="16.5" customHeight="1" thickBot="1" x14ac:dyDescent="0.4">
      <c r="A7" s="31" t="s">
        <v>275</v>
      </c>
      <c r="C7" s="109" t="s">
        <v>85</v>
      </c>
      <c r="D7" s="119"/>
    </row>
    <row r="8" spans="1:6" ht="16.5" customHeight="1" thickTop="1" thickBot="1" x14ac:dyDescent="0.4">
      <c r="A8" s="29" t="s">
        <v>88</v>
      </c>
      <c r="C8" s="109" t="s">
        <v>86</v>
      </c>
      <c r="D8" s="120">
        <f>D7-D6</f>
        <v>0</v>
      </c>
    </row>
    <row r="9" spans="1:6" ht="15" thickTop="1" x14ac:dyDescent="0.35">
      <c r="A9" s="29" t="s">
        <v>189</v>
      </c>
    </row>
    <row r="10" spans="1:6" ht="15" customHeight="1" thickBot="1" x14ac:dyDescent="0.4">
      <c r="A10" s="31" t="s">
        <v>315</v>
      </c>
      <c r="C10" s="109" t="s">
        <v>97</v>
      </c>
      <c r="D10" s="121"/>
    </row>
    <row r="11" spans="1:6" ht="15" customHeight="1" thickTop="1" thickBot="1" x14ac:dyDescent="0.4">
      <c r="A11" s="31" t="s">
        <v>316</v>
      </c>
      <c r="C11" s="109" t="s">
        <v>96</v>
      </c>
      <c r="D11" s="122"/>
    </row>
    <row r="12" spans="1:6" ht="15" thickTop="1" x14ac:dyDescent="0.35">
      <c r="A12" s="29" t="s">
        <v>274</v>
      </c>
    </row>
    <row r="13" spans="1:6" x14ac:dyDescent="0.35">
      <c r="A13" s="29" t="s">
        <v>146</v>
      </c>
    </row>
    <row r="14" spans="1:6" x14ac:dyDescent="0.35">
      <c r="A14" s="29" t="s">
        <v>147</v>
      </c>
    </row>
    <row r="15" spans="1:6" x14ac:dyDescent="0.35">
      <c r="A15" s="29" t="s">
        <v>30</v>
      </c>
    </row>
    <row r="16" spans="1:6" x14ac:dyDescent="0.35">
      <c r="A16" s="29" t="s">
        <v>190</v>
      </c>
    </row>
    <row r="17" spans="1:6" x14ac:dyDescent="0.35">
      <c r="A17" s="29" t="s">
        <v>191</v>
      </c>
    </row>
    <row r="18" spans="1:6" x14ac:dyDescent="0.35">
      <c r="A18" s="29" t="s">
        <v>192</v>
      </c>
    </row>
    <row r="19" spans="1:6" x14ac:dyDescent="0.35">
      <c r="A19" s="29" t="s">
        <v>33</v>
      </c>
    </row>
    <row r="25" spans="1:6" ht="15" customHeight="1" x14ac:dyDescent="0.35">
      <c r="C25" s="80"/>
      <c r="D25" s="93"/>
    </row>
    <row r="27" spans="1:6" x14ac:dyDescent="0.35">
      <c r="C27" s="32" t="s">
        <v>88</v>
      </c>
      <c r="D27" s="32"/>
    </row>
    <row r="28" spans="1:6" x14ac:dyDescent="0.35">
      <c r="C28" s="109" t="s">
        <v>89</v>
      </c>
      <c r="D28" s="123"/>
    </row>
    <row r="31" spans="1:6" x14ac:dyDescent="0.35">
      <c r="C31" s="32" t="s">
        <v>94</v>
      </c>
      <c r="D31" s="32"/>
    </row>
    <row r="32" spans="1:6" x14ac:dyDescent="0.35">
      <c r="C32" s="109" t="s">
        <v>90</v>
      </c>
      <c r="D32" s="124"/>
      <c r="F32" s="134"/>
    </row>
    <row r="33" spans="3:6" x14ac:dyDescent="0.35">
      <c r="C33" s="109" t="s">
        <v>92</v>
      </c>
      <c r="D33" s="124"/>
      <c r="F33" s="134"/>
    </row>
    <row r="34" spans="3:6" x14ac:dyDescent="0.35">
      <c r="C34" s="109" t="s">
        <v>93</v>
      </c>
      <c r="D34" s="124"/>
      <c r="F34" s="134"/>
    </row>
    <row r="35" spans="3:6" ht="15" thickBot="1" x14ac:dyDescent="0.4">
      <c r="C35" s="109" t="s">
        <v>91</v>
      </c>
      <c r="D35" s="124"/>
      <c r="F35" s="134"/>
    </row>
    <row r="36" spans="3:6" ht="15.5" thickTop="1" thickBot="1" x14ac:dyDescent="0.4">
      <c r="C36" s="109" t="s">
        <v>95</v>
      </c>
      <c r="D36" s="136"/>
    </row>
    <row r="37" spans="3:6" ht="15" thickTop="1" x14ac:dyDescent="0.35"/>
    <row r="45" spans="3:6" x14ac:dyDescent="0.35">
      <c r="C45" s="32" t="s">
        <v>98</v>
      </c>
      <c r="D45" s="32"/>
    </row>
    <row r="46" spans="3:6" x14ac:dyDescent="0.35">
      <c r="C46" s="125" t="s">
        <v>99</v>
      </c>
      <c r="D46" s="126">
        <v>43005</v>
      </c>
    </row>
    <row r="47" spans="3:6" x14ac:dyDescent="0.35">
      <c r="C47" s="125" t="s">
        <v>100</v>
      </c>
      <c r="D47" s="127">
        <v>0.36944444444444446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election activeCell="G4" sqref="G4"/>
    </sheetView>
  </sheetViews>
  <sheetFormatPr defaultRowHeight="14.5" x14ac:dyDescent="0.35"/>
  <cols>
    <col min="1" max="1" width="12.6328125" style="29" customWidth="1"/>
    <col min="2" max="2" width="82.90625" customWidth="1"/>
    <col min="3" max="3" width="16.36328125" customWidth="1"/>
    <col min="4" max="4" width="15" customWidth="1"/>
    <col min="5" max="5" width="21" bestFit="1" customWidth="1"/>
    <col min="6" max="6" width="18.36328125" customWidth="1"/>
    <col min="7" max="7" width="10.36328125" bestFit="1" customWidth="1"/>
  </cols>
  <sheetData>
    <row r="1" spans="1:6" ht="60" customHeight="1" x14ac:dyDescent="0.35">
      <c r="A1" s="29" t="s">
        <v>193</v>
      </c>
      <c r="C1" s="80"/>
      <c r="D1" s="93"/>
      <c r="E1" s="93"/>
      <c r="F1" s="93"/>
    </row>
    <row r="2" spans="1:6" x14ac:dyDescent="0.35">
      <c r="A2" s="29" t="s">
        <v>194</v>
      </c>
      <c r="C2" s="7" t="s">
        <v>101</v>
      </c>
      <c r="D2" s="7" t="s">
        <v>102</v>
      </c>
      <c r="E2" s="7" t="s">
        <v>103</v>
      </c>
      <c r="F2" s="7" t="s">
        <v>120</v>
      </c>
    </row>
    <row r="3" spans="1:6" x14ac:dyDescent="0.35">
      <c r="A3" s="29" t="s">
        <v>195</v>
      </c>
      <c r="C3" s="109" t="s">
        <v>104</v>
      </c>
      <c r="D3" s="109" t="s">
        <v>105</v>
      </c>
      <c r="E3" s="121"/>
      <c r="F3" s="63"/>
    </row>
    <row r="4" spans="1:6" x14ac:dyDescent="0.35">
      <c r="A4" s="29" t="s">
        <v>196</v>
      </c>
      <c r="C4" s="109" t="s">
        <v>106</v>
      </c>
      <c r="D4" s="109" t="s">
        <v>107</v>
      </c>
      <c r="E4" s="121"/>
      <c r="F4" s="63"/>
    </row>
    <row r="5" spans="1:6" x14ac:dyDescent="0.35">
      <c r="A5" s="29" t="s">
        <v>197</v>
      </c>
      <c r="C5" s="109" t="s">
        <v>108</v>
      </c>
      <c r="D5" s="109" t="s">
        <v>109</v>
      </c>
      <c r="E5" s="121"/>
      <c r="F5" s="63"/>
    </row>
    <row r="6" spans="1:6" x14ac:dyDescent="0.35">
      <c r="A6" s="29" t="s">
        <v>136</v>
      </c>
      <c r="C6" s="109" t="s">
        <v>110</v>
      </c>
      <c r="D6" s="109" t="s">
        <v>111</v>
      </c>
      <c r="E6" s="121"/>
      <c r="F6" s="63"/>
    </row>
    <row r="7" spans="1:6" x14ac:dyDescent="0.35">
      <c r="A7" s="29" t="s">
        <v>147</v>
      </c>
      <c r="C7" s="109" t="s">
        <v>112</v>
      </c>
      <c r="D7" s="109" t="s">
        <v>113</v>
      </c>
      <c r="E7" s="121"/>
      <c r="F7" s="63"/>
    </row>
    <row r="8" spans="1:6" x14ac:dyDescent="0.35">
      <c r="A8" s="29" t="s">
        <v>57</v>
      </c>
      <c r="C8" s="109" t="s">
        <v>114</v>
      </c>
      <c r="D8" s="109" t="s">
        <v>115</v>
      </c>
      <c r="E8" s="121"/>
      <c r="F8" s="63"/>
    </row>
    <row r="9" spans="1:6" x14ac:dyDescent="0.35">
      <c r="A9" s="29" t="s">
        <v>198</v>
      </c>
      <c r="C9" s="109" t="s">
        <v>116</v>
      </c>
      <c r="D9" s="109" t="s">
        <v>117</v>
      </c>
      <c r="E9" s="121"/>
      <c r="F9" s="63"/>
    </row>
    <row r="10" spans="1:6" x14ac:dyDescent="0.35">
      <c r="A10" s="29" t="s">
        <v>199</v>
      </c>
      <c r="C10" s="109" t="s">
        <v>118</v>
      </c>
      <c r="D10" s="109" t="s">
        <v>119</v>
      </c>
      <c r="E10" s="121"/>
      <c r="F10" s="63"/>
    </row>
    <row r="11" spans="1:6" x14ac:dyDescent="0.35">
      <c r="A11" s="29" t="s">
        <v>200</v>
      </c>
    </row>
    <row r="12" spans="1:6" x14ac:dyDescent="0.35">
      <c r="A12" s="29" t="s">
        <v>201</v>
      </c>
    </row>
    <row r="13" spans="1:6" x14ac:dyDescent="0.35">
      <c r="A13" s="29" t="s">
        <v>317</v>
      </c>
    </row>
    <row r="14" spans="1:6" x14ac:dyDescent="0.35">
      <c r="A14" s="29" t="s">
        <v>30</v>
      </c>
    </row>
    <row r="15" spans="1:6" x14ac:dyDescent="0.35">
      <c r="A15" s="29" t="s">
        <v>202</v>
      </c>
    </row>
    <row r="16" spans="1:6" x14ac:dyDescent="0.35">
      <c r="A16" s="29" t="s">
        <v>203</v>
      </c>
    </row>
    <row r="17" spans="1:5" x14ac:dyDescent="0.35">
      <c r="A17" s="29" t="s">
        <v>33</v>
      </c>
    </row>
    <row r="21" spans="1:5" x14ac:dyDescent="0.35">
      <c r="D21" s="12"/>
    </row>
    <row r="27" spans="1:5" x14ac:dyDescent="0.35">
      <c r="C27" s="32" t="s">
        <v>58</v>
      </c>
      <c r="D27" s="32"/>
      <c r="E27" s="137"/>
    </row>
    <row r="28" spans="1:5" x14ac:dyDescent="0.35">
      <c r="C28" s="109" t="s">
        <v>55</v>
      </c>
      <c r="D28" s="119"/>
    </row>
    <row r="29" spans="1:5" x14ac:dyDescent="0.35">
      <c r="C29" s="109" t="s">
        <v>56</v>
      </c>
      <c r="D29" s="128"/>
    </row>
    <row r="31" spans="1:5" x14ac:dyDescent="0.35">
      <c r="C31" s="32" t="s">
        <v>59</v>
      </c>
      <c r="D31" s="32"/>
    </row>
    <row r="32" spans="1:5" x14ac:dyDescent="0.35">
      <c r="C32" s="109" t="str">
        <f>C28&amp;" "&amp;D28</f>
        <v xml:space="preserve">Today's date: </v>
      </c>
      <c r="D32" s="109"/>
    </row>
    <row r="33" spans="3:4" x14ac:dyDescent="0.35">
      <c r="C33" s="109" t="str">
        <f>C29&amp;" "&amp;D29</f>
        <v xml:space="preserve">Current time: </v>
      </c>
      <c r="D33" s="109"/>
    </row>
    <row r="35" spans="3:4" x14ac:dyDescent="0.35">
      <c r="C35" s="32" t="s">
        <v>60</v>
      </c>
      <c r="D35" s="32"/>
    </row>
    <row r="36" spans="3:4" x14ac:dyDescent="0.35">
      <c r="C36" s="63" t="str">
        <f>C28 &amp;" "&amp; TEXT(D28,"mm/dd/yyyy")</f>
        <v>Today's date: 01/00/1900</v>
      </c>
      <c r="D36" s="63"/>
    </row>
    <row r="37" spans="3:4" x14ac:dyDescent="0.35">
      <c r="C37" s="63" t="str">
        <f>C29&amp;" "&amp;TEXT(D29,"HH:MM AM/PM")</f>
        <v>Current time: 12:00 AM</v>
      </c>
      <c r="D37" s="63"/>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37"/>
  <sheetViews>
    <sheetView showGridLines="0" topLeftCell="A32" workbookViewId="0">
      <selection activeCell="F37" sqref="F37"/>
    </sheetView>
  </sheetViews>
  <sheetFormatPr defaultRowHeight="14.5" x14ac:dyDescent="0.35"/>
  <cols>
    <col min="1" max="1" width="12.6328125" customWidth="1"/>
    <col min="2" max="2" width="82.90625" customWidth="1"/>
    <col min="3" max="3" width="17.08984375" customWidth="1"/>
    <col min="4" max="4" width="26.08984375" bestFit="1" customWidth="1"/>
  </cols>
  <sheetData>
    <row r="1" spans="1:6" ht="60" customHeight="1" x14ac:dyDescent="0.35">
      <c r="A1" s="29" t="s">
        <v>61</v>
      </c>
      <c r="D1" s="93"/>
    </row>
    <row r="2" spans="1:6" x14ac:dyDescent="0.35">
      <c r="A2" s="29" t="s">
        <v>204</v>
      </c>
      <c r="E2" s="36"/>
      <c r="F2" s="36"/>
    </row>
    <row r="3" spans="1:6" ht="15" customHeight="1" x14ac:dyDescent="0.35">
      <c r="A3" s="31" t="s">
        <v>276</v>
      </c>
      <c r="E3" s="36"/>
      <c r="F3" s="36"/>
    </row>
    <row r="4" spans="1:6" ht="15" customHeight="1" x14ac:dyDescent="0.35">
      <c r="A4" s="31" t="s">
        <v>277</v>
      </c>
      <c r="E4" s="36"/>
      <c r="F4" s="36"/>
    </row>
    <row r="5" spans="1:6" ht="15" customHeight="1" x14ac:dyDescent="0.35">
      <c r="A5" s="31" t="s">
        <v>314</v>
      </c>
      <c r="C5" s="103"/>
      <c r="E5" s="36"/>
      <c r="F5" s="36"/>
    </row>
    <row r="6" spans="1:6" x14ac:dyDescent="0.35">
      <c r="A6" s="29" t="s">
        <v>205</v>
      </c>
      <c r="E6" s="36"/>
      <c r="F6" s="36"/>
    </row>
    <row r="7" spans="1:6" x14ac:dyDescent="0.35">
      <c r="A7" s="29" t="s">
        <v>136</v>
      </c>
      <c r="C7" s="36"/>
      <c r="D7" s="36"/>
      <c r="E7" s="36"/>
      <c r="F7" s="36"/>
    </row>
    <row r="8" spans="1:6" x14ac:dyDescent="0.35">
      <c r="A8" s="29" t="s">
        <v>147</v>
      </c>
      <c r="C8" s="35" t="s">
        <v>61</v>
      </c>
      <c r="D8" s="35"/>
    </row>
    <row r="9" spans="1:6" x14ac:dyDescent="0.35">
      <c r="A9" s="29" t="s">
        <v>206</v>
      </c>
      <c r="C9" s="129" t="s">
        <v>121</v>
      </c>
      <c r="D9" s="55"/>
    </row>
    <row r="10" spans="1:6" x14ac:dyDescent="0.35">
      <c r="A10" s="29" t="s">
        <v>207</v>
      </c>
      <c r="C10" s="129" t="s">
        <v>122</v>
      </c>
      <c r="D10" s="55"/>
    </row>
    <row r="11" spans="1:6" ht="15" customHeight="1" thickBot="1" x14ac:dyDescent="0.4">
      <c r="A11" s="31" t="s">
        <v>278</v>
      </c>
      <c r="C11" s="36"/>
      <c r="D11" s="36"/>
    </row>
    <row r="12" spans="1:6" ht="15" customHeight="1" thickTop="1" thickBot="1" x14ac:dyDescent="0.4">
      <c r="A12" s="31" t="s">
        <v>279</v>
      </c>
      <c r="C12" s="61">
        <v>50</v>
      </c>
      <c r="D12" s="55"/>
    </row>
    <row r="13" spans="1:6" ht="15" customHeight="1" thickTop="1" x14ac:dyDescent="0.35">
      <c r="A13" s="31" t="s">
        <v>280</v>
      </c>
    </row>
    <row r="14" spans="1:6" x14ac:dyDescent="0.35">
      <c r="A14" s="29" t="s">
        <v>208</v>
      </c>
    </row>
    <row r="15" spans="1:6" ht="15" customHeight="1" x14ac:dyDescent="0.35">
      <c r="A15" s="31" t="s">
        <v>281</v>
      </c>
    </row>
    <row r="16" spans="1:6" x14ac:dyDescent="0.35">
      <c r="A16" s="29" t="s">
        <v>146</v>
      </c>
    </row>
    <row r="17" spans="1:9" x14ac:dyDescent="0.35">
      <c r="A17" s="29" t="s">
        <v>147</v>
      </c>
    </row>
    <row r="18" spans="1:9" x14ac:dyDescent="0.35">
      <c r="A18" s="29" t="s">
        <v>30</v>
      </c>
      <c r="C18" s="12"/>
    </row>
    <row r="19" spans="1:9" x14ac:dyDescent="0.35">
      <c r="A19" s="29" t="s">
        <v>209</v>
      </c>
    </row>
    <row r="20" spans="1:9" x14ac:dyDescent="0.35">
      <c r="A20" s="29" t="s">
        <v>210</v>
      </c>
    </row>
    <row r="21" spans="1:9" x14ac:dyDescent="0.35">
      <c r="A21" s="29" t="s">
        <v>211</v>
      </c>
    </row>
    <row r="22" spans="1:9" x14ac:dyDescent="0.35">
      <c r="A22" s="29" t="s">
        <v>33</v>
      </c>
    </row>
    <row r="26" spans="1:9" ht="15" thickBot="1" x14ac:dyDescent="0.4"/>
    <row r="27" spans="1:9" ht="15" thickBot="1" x14ac:dyDescent="0.4">
      <c r="C27" s="71" t="s">
        <v>12</v>
      </c>
      <c r="D27" s="72" t="s">
        <v>63</v>
      </c>
      <c r="E27" s="72" t="s">
        <v>64</v>
      </c>
      <c r="F27" s="72" t="s">
        <v>65</v>
      </c>
      <c r="H27" s="138" t="s">
        <v>318</v>
      </c>
      <c r="I27" s="140">
        <v>1.25</v>
      </c>
    </row>
    <row r="28" spans="1:9" x14ac:dyDescent="0.35">
      <c r="C28" s="73" t="s">
        <v>66</v>
      </c>
      <c r="D28" s="73">
        <v>2</v>
      </c>
      <c r="E28" s="74">
        <v>9.7607115856835538</v>
      </c>
      <c r="F28" s="74">
        <f>'IF statements'!$E$28:$E$29*'IF statements'!$D$28:$D$29</f>
        <v>19.521423171367108</v>
      </c>
    </row>
    <row r="29" spans="1:9" ht="15" thickBot="1" x14ac:dyDescent="0.4">
      <c r="C29" s="64" t="s">
        <v>67</v>
      </c>
      <c r="D29" s="64">
        <v>3</v>
      </c>
      <c r="E29" s="65">
        <v>3.4189202461080024</v>
      </c>
      <c r="F29" s="65">
        <f>'IF statements'!$E$28:$E$29*'IF statements'!$D$28:$D$29</f>
        <v>10.256760738324008</v>
      </c>
    </row>
    <row r="30" spans="1:9" x14ac:dyDescent="0.35">
      <c r="C30" s="36"/>
      <c r="D30" s="36"/>
      <c r="E30" s="36"/>
      <c r="F30" s="36"/>
    </row>
    <row r="31" spans="1:9" x14ac:dyDescent="0.35">
      <c r="C31" s="36"/>
      <c r="D31" s="36" t="s">
        <v>68</v>
      </c>
      <c r="E31" s="37">
        <f>SUM('IF statements'!$E$28:$E$29)</f>
        <v>13.179631831791557</v>
      </c>
      <c r="F31" s="37">
        <f>SUM('IF statements'!F28:F29)</f>
        <v>29.778183909691116</v>
      </c>
    </row>
    <row r="32" spans="1:9" ht="15" thickBot="1" x14ac:dyDescent="0.4">
      <c r="C32" s="36"/>
      <c r="D32" s="36"/>
      <c r="E32" s="36"/>
      <c r="F32" s="36"/>
    </row>
    <row r="33" spans="3:6" ht="15.5" thickTop="1" thickBot="1" x14ac:dyDescent="0.4">
      <c r="C33" s="36"/>
      <c r="D33" s="36" t="s">
        <v>69</v>
      </c>
      <c r="E33" s="61" t="s">
        <v>62</v>
      </c>
      <c r="F33" s="38"/>
    </row>
    <row r="34" spans="3:6" ht="15.5" thickTop="1" thickBot="1" x14ac:dyDescent="0.4">
      <c r="C34" s="36"/>
      <c r="D34" s="36"/>
      <c r="E34" s="36"/>
      <c r="F34" s="36"/>
    </row>
    <row r="35" spans="3:6" ht="15.5" thickTop="1" thickBot="1" x14ac:dyDescent="0.4">
      <c r="C35" s="36"/>
      <c r="D35" s="36" t="s">
        <v>123</v>
      </c>
      <c r="E35" s="61" t="s">
        <v>62</v>
      </c>
      <c r="F35" s="38"/>
    </row>
    <row r="36" spans="3:6" ht="15" thickTop="1" x14ac:dyDescent="0.35"/>
    <row r="37" spans="3:6" x14ac:dyDescent="0.35">
      <c r="D37" s="36" t="s">
        <v>65</v>
      </c>
      <c r="E37" s="36"/>
      <c r="F37" s="37">
        <f>SUM(F33,F31,F35)</f>
        <v>29.778183909691116</v>
      </c>
    </row>
  </sheetData>
  <dataValidations count="1">
    <dataValidation type="list" allowBlank="1" showInputMessage="1" showErrorMessage="1" sqref="E33 E35" xr:uid="{00000000-0002-0000-0700-000000000000}">
      <formula1>"Yes,No"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topLeftCell="A29" zoomScaleNormal="100" workbookViewId="0">
      <selection activeCell="I68" sqref="I68:J84"/>
    </sheetView>
  </sheetViews>
  <sheetFormatPr defaultColWidth="8.90625" defaultRowHeight="15" customHeight="1" x14ac:dyDescent="0.35"/>
  <cols>
    <col min="1" max="1" width="12.6328125" style="9" customWidth="1"/>
    <col min="2" max="2" width="82.90625" style="1" customWidth="1"/>
    <col min="3" max="3" width="13.36328125" style="1" customWidth="1"/>
    <col min="4" max="4" width="13.36328125" style="4" customWidth="1"/>
    <col min="5" max="5" width="2.36328125" style="1" customWidth="1"/>
    <col min="6" max="7" width="13.36328125" style="1" customWidth="1"/>
    <col min="8" max="16384" width="8.90625" style="1"/>
  </cols>
  <sheetData>
    <row r="1" spans="1:7" ht="60" customHeight="1" x14ac:dyDescent="0.35">
      <c r="A1" s="9" t="s">
        <v>70</v>
      </c>
      <c r="B1" s="45"/>
      <c r="D1" s="92"/>
      <c r="E1" s="92"/>
      <c r="F1" s="92"/>
      <c r="G1" s="92"/>
    </row>
    <row r="2" spans="1:7" ht="15" customHeight="1" x14ac:dyDescent="0.35">
      <c r="A2" s="9" t="s">
        <v>212</v>
      </c>
      <c r="B2" s="45"/>
    </row>
    <row r="3" spans="1:7" ht="15" customHeight="1" x14ac:dyDescent="0.35">
      <c r="A3" s="9" t="s">
        <v>213</v>
      </c>
      <c r="B3" s="45"/>
    </row>
    <row r="4" spans="1:7" ht="15" customHeight="1" x14ac:dyDescent="0.35">
      <c r="A4" s="9" t="s">
        <v>214</v>
      </c>
      <c r="B4" s="45"/>
    </row>
    <row r="5" spans="1:7" s="4" customFormat="1" ht="15" customHeight="1" x14ac:dyDescent="0.35">
      <c r="A5" s="26" t="s">
        <v>215</v>
      </c>
      <c r="B5" s="46"/>
    </row>
    <row r="6" spans="1:7" s="4" customFormat="1" ht="15" customHeight="1" x14ac:dyDescent="0.35">
      <c r="A6" s="26" t="s">
        <v>216</v>
      </c>
      <c r="B6" s="46"/>
    </row>
    <row r="7" spans="1:7" s="4" customFormat="1" ht="15" customHeight="1" x14ac:dyDescent="0.35">
      <c r="A7" s="26" t="s">
        <v>217</v>
      </c>
      <c r="B7" s="46"/>
    </row>
    <row r="8" spans="1:7" s="4" customFormat="1" ht="15" customHeight="1" x14ac:dyDescent="0.35">
      <c r="A8" s="99" t="s">
        <v>282</v>
      </c>
      <c r="B8" s="46"/>
    </row>
    <row r="9" spans="1:7" s="4" customFormat="1" ht="15" customHeight="1" x14ac:dyDescent="0.35">
      <c r="A9" s="99" t="s">
        <v>283</v>
      </c>
      <c r="B9" s="46"/>
    </row>
    <row r="10" spans="1:7" s="4" customFormat="1" ht="15" customHeight="1" x14ac:dyDescent="0.35">
      <c r="A10" s="26" t="s">
        <v>218</v>
      </c>
      <c r="B10" s="46"/>
    </row>
    <row r="11" spans="1:7" s="4" customFormat="1" ht="15" customHeight="1" x14ac:dyDescent="0.35">
      <c r="A11" s="26" t="s">
        <v>136</v>
      </c>
      <c r="B11" s="46"/>
    </row>
    <row r="12" spans="1:7" s="4" customFormat="1" ht="15" customHeight="1" x14ac:dyDescent="0.35">
      <c r="A12" s="26" t="s">
        <v>147</v>
      </c>
      <c r="B12" s="46"/>
    </row>
    <row r="13" spans="1:7" s="4" customFormat="1" ht="15" customHeight="1" x14ac:dyDescent="0.35">
      <c r="A13" s="26" t="s">
        <v>219</v>
      </c>
      <c r="B13" s="46"/>
      <c r="C13" s="103"/>
      <c r="D13" s="106"/>
      <c r="E13" s="106"/>
      <c r="F13" s="106"/>
      <c r="G13" s="106"/>
    </row>
    <row r="14" spans="1:7" s="4" customFormat="1" ht="15" customHeight="1" x14ac:dyDescent="0.35">
      <c r="A14" s="26" t="s">
        <v>220</v>
      </c>
      <c r="B14" s="46"/>
      <c r="C14" s="106"/>
      <c r="D14" s="106"/>
      <c r="E14" s="106"/>
      <c r="F14" s="106"/>
      <c r="G14" s="106"/>
    </row>
    <row r="15" spans="1:7" s="4" customFormat="1" ht="15" customHeight="1" x14ac:dyDescent="0.35">
      <c r="A15" s="99" t="s">
        <v>284</v>
      </c>
      <c r="B15" s="46"/>
    </row>
    <row r="16" spans="1:7" s="4" customFormat="1" ht="15" customHeight="1" x14ac:dyDescent="0.35">
      <c r="A16" s="31" t="s">
        <v>285</v>
      </c>
      <c r="B16" s="46"/>
      <c r="C16" s="39" t="s">
        <v>1</v>
      </c>
      <c r="D16" s="34" t="s">
        <v>2</v>
      </c>
      <c r="E16" s="25"/>
      <c r="F16" s="33" t="s">
        <v>3</v>
      </c>
      <c r="G16" s="34" t="s">
        <v>2</v>
      </c>
    </row>
    <row r="17" spans="1:12" s="4" customFormat="1" ht="15" customHeight="1" x14ac:dyDescent="0.35">
      <c r="A17" s="26" t="s">
        <v>221</v>
      </c>
      <c r="C17" s="116" t="s">
        <v>4</v>
      </c>
      <c r="D17" s="117">
        <v>50</v>
      </c>
      <c r="E17" s="47"/>
      <c r="F17" s="118" t="s">
        <v>5</v>
      </c>
      <c r="G17" s="117">
        <v>50</v>
      </c>
      <c r="H17" s="46"/>
      <c r="I17" s="46"/>
      <c r="J17" s="46"/>
      <c r="K17" s="46"/>
      <c r="L17" s="46"/>
    </row>
    <row r="18" spans="1:12" s="4" customFormat="1" ht="15" customHeight="1" x14ac:dyDescent="0.35">
      <c r="A18" s="26" t="s">
        <v>146</v>
      </c>
      <c r="C18" s="116" t="s">
        <v>6</v>
      </c>
      <c r="D18" s="117">
        <v>20</v>
      </c>
      <c r="E18" s="47"/>
      <c r="F18" s="118" t="s">
        <v>7</v>
      </c>
      <c r="G18" s="117">
        <v>30</v>
      </c>
      <c r="H18" s="46"/>
      <c r="I18" s="46"/>
      <c r="J18" s="46"/>
      <c r="K18" s="46"/>
      <c r="L18" s="46"/>
    </row>
    <row r="19" spans="1:12" s="4" customFormat="1" ht="15" customHeight="1" x14ac:dyDescent="0.35">
      <c r="A19" s="26" t="s">
        <v>147</v>
      </c>
      <c r="C19" s="116" t="s">
        <v>8</v>
      </c>
      <c r="D19" s="117">
        <v>60</v>
      </c>
      <c r="E19" s="47"/>
      <c r="F19" s="118" t="s">
        <v>9</v>
      </c>
      <c r="G19" s="117">
        <v>10</v>
      </c>
      <c r="H19" s="46"/>
      <c r="I19" s="46"/>
      <c r="J19" s="46"/>
      <c r="K19" s="46"/>
      <c r="L19" s="46"/>
    </row>
    <row r="20" spans="1:12" s="4" customFormat="1" ht="15" customHeight="1" x14ac:dyDescent="0.35">
      <c r="A20" s="26" t="s">
        <v>30</v>
      </c>
      <c r="C20" s="116" t="s">
        <v>10</v>
      </c>
      <c r="D20" s="117">
        <v>40</v>
      </c>
      <c r="E20" s="47"/>
      <c r="F20" s="118" t="s">
        <v>11</v>
      </c>
      <c r="G20" s="117">
        <v>50</v>
      </c>
      <c r="H20" s="46"/>
      <c r="I20" s="46"/>
      <c r="J20" s="46"/>
      <c r="K20" s="46"/>
      <c r="L20" s="46"/>
    </row>
    <row r="21" spans="1:12" s="4" customFormat="1" ht="15" customHeight="1" thickBot="1" x14ac:dyDescent="0.4">
      <c r="A21" s="26" t="s">
        <v>71</v>
      </c>
      <c r="C21" s="46"/>
      <c r="D21" s="46"/>
      <c r="E21" s="46"/>
      <c r="F21" s="46"/>
      <c r="G21" s="46"/>
      <c r="H21" s="46"/>
      <c r="I21" s="46"/>
      <c r="J21" s="46"/>
      <c r="K21" s="46"/>
      <c r="L21" s="46"/>
    </row>
    <row r="22" spans="1:12" s="4" customFormat="1" ht="15" customHeight="1" thickTop="1" thickBot="1" x14ac:dyDescent="0.4">
      <c r="A22" s="26" t="s">
        <v>72</v>
      </c>
      <c r="C22" s="62" t="s">
        <v>6</v>
      </c>
      <c r="D22" s="50"/>
      <c r="E22" s="47"/>
      <c r="F22" s="62" t="s">
        <v>9</v>
      </c>
      <c r="G22" s="50"/>
      <c r="H22" s="46"/>
      <c r="I22" s="46"/>
      <c r="J22" s="46"/>
      <c r="K22" s="46"/>
      <c r="L22" s="46"/>
    </row>
    <row r="23" spans="1:12" s="4" customFormat="1" ht="15" customHeight="1" thickTop="1" x14ac:dyDescent="0.35">
      <c r="A23" s="26" t="s">
        <v>73</v>
      </c>
      <c r="C23" s="46"/>
      <c r="D23" s="47"/>
      <c r="E23" s="47"/>
      <c r="F23" s="46"/>
      <c r="G23" s="47"/>
      <c r="H23" s="46"/>
      <c r="I23" s="46"/>
      <c r="J23" s="46"/>
      <c r="K23" s="46"/>
      <c r="L23" s="46"/>
    </row>
    <row r="24" spans="1:12" s="4" customFormat="1" ht="15" customHeight="1" x14ac:dyDescent="0.35">
      <c r="A24" s="26" t="s">
        <v>74</v>
      </c>
      <c r="H24" s="46"/>
      <c r="I24" s="46"/>
      <c r="J24" s="46"/>
      <c r="K24" s="46"/>
      <c r="L24" s="46"/>
    </row>
    <row r="25" spans="1:12" s="4" customFormat="1" ht="15" customHeight="1" x14ac:dyDescent="0.35">
      <c r="A25" s="26" t="s">
        <v>33</v>
      </c>
      <c r="H25" s="46"/>
      <c r="I25" s="46"/>
      <c r="J25" s="46"/>
      <c r="K25" s="46"/>
      <c r="L25" s="46"/>
    </row>
    <row r="26" spans="1:12" ht="15" customHeight="1" x14ac:dyDescent="0.35">
      <c r="C26" s="4"/>
      <c r="E26" s="4"/>
      <c r="F26" s="4"/>
      <c r="G26" s="4"/>
      <c r="H26" s="45"/>
      <c r="I26" s="46"/>
      <c r="J26" s="46"/>
      <c r="K26" s="46"/>
      <c r="L26" s="46"/>
    </row>
    <row r="27" spans="1:12" ht="15" customHeight="1" x14ac:dyDescent="0.35">
      <c r="C27" s="4"/>
      <c r="E27" s="4"/>
      <c r="F27" s="4"/>
      <c r="G27" s="4"/>
      <c r="H27" s="45"/>
      <c r="I27" s="45"/>
      <c r="J27" s="45"/>
      <c r="K27" s="45"/>
      <c r="L27" s="45"/>
    </row>
    <row r="28" spans="1:12" ht="15" customHeight="1" x14ac:dyDescent="0.35">
      <c r="C28" s="4"/>
      <c r="E28" s="4"/>
      <c r="F28" s="4"/>
      <c r="G28" s="4"/>
      <c r="H28" s="45"/>
      <c r="I28" s="45"/>
      <c r="J28" s="45"/>
      <c r="K28" s="45"/>
      <c r="L28" s="45"/>
    </row>
    <row r="29" spans="1:12" ht="15" customHeight="1" x14ac:dyDescent="0.35">
      <c r="H29" s="45"/>
      <c r="I29" s="45"/>
      <c r="J29" s="45"/>
      <c r="K29" s="45"/>
      <c r="L29" s="45"/>
    </row>
    <row r="30" spans="1:12" ht="15" customHeight="1" x14ac:dyDescent="0.35">
      <c r="H30" s="45"/>
      <c r="I30" s="45"/>
      <c r="J30" s="45"/>
      <c r="K30" s="45"/>
      <c r="L30" s="45"/>
    </row>
    <row r="31" spans="1:12" ht="15" customHeight="1" x14ac:dyDescent="0.35">
      <c r="H31" s="45"/>
      <c r="I31" s="45"/>
      <c r="J31" s="45"/>
      <c r="K31" s="45"/>
      <c r="L31" s="45"/>
    </row>
    <row r="32" spans="1:12" ht="15" customHeight="1" x14ac:dyDescent="0.35">
      <c r="H32" s="45"/>
      <c r="I32" s="45"/>
      <c r="J32" s="45"/>
      <c r="K32" s="45"/>
      <c r="L32" s="45"/>
    </row>
    <row r="33" spans="2:7" ht="15" customHeight="1" x14ac:dyDescent="0.35">
      <c r="B33" s="45"/>
      <c r="C33" s="104"/>
      <c r="D33" s="105"/>
      <c r="E33" s="105"/>
      <c r="F33" s="105"/>
      <c r="G33" s="105"/>
    </row>
    <row r="34" spans="2:7" ht="15" customHeight="1" x14ac:dyDescent="0.35">
      <c r="B34" s="45"/>
      <c r="C34" s="105"/>
      <c r="D34" s="105"/>
      <c r="E34" s="105"/>
      <c r="F34" s="105"/>
      <c r="G34" s="105"/>
    </row>
    <row r="35" spans="2:7" ht="15" customHeight="1" x14ac:dyDescent="0.35">
      <c r="B35" s="45"/>
      <c r="C35" s="94" t="s">
        <v>22</v>
      </c>
      <c r="D35" s="92"/>
      <c r="E35" s="92"/>
      <c r="F35" s="92"/>
      <c r="G35" s="92"/>
    </row>
    <row r="36" spans="2:7" ht="15" customHeight="1" x14ac:dyDescent="0.35">
      <c r="B36" s="45"/>
      <c r="C36" s="39" t="s">
        <v>12</v>
      </c>
      <c r="D36" s="34" t="s">
        <v>2</v>
      </c>
      <c r="E36" s="25"/>
      <c r="F36" s="33" t="s">
        <v>12</v>
      </c>
      <c r="G36" s="34" t="s">
        <v>2</v>
      </c>
    </row>
    <row r="37" spans="2:7" ht="15" customHeight="1" x14ac:dyDescent="0.35">
      <c r="B37" s="45"/>
      <c r="C37" s="116" t="s">
        <v>13</v>
      </c>
      <c r="D37" s="117">
        <v>50</v>
      </c>
      <c r="E37" s="47"/>
      <c r="F37" s="118" t="s">
        <v>13</v>
      </c>
      <c r="G37" s="117">
        <v>50</v>
      </c>
    </row>
    <row r="38" spans="2:7" ht="15" customHeight="1" x14ac:dyDescent="0.35">
      <c r="B38" s="45"/>
      <c r="C38" s="116" t="s">
        <v>14</v>
      </c>
      <c r="D38" s="117">
        <v>100</v>
      </c>
      <c r="E38" s="47"/>
      <c r="F38" s="118" t="s">
        <v>14</v>
      </c>
      <c r="G38" s="117">
        <v>100</v>
      </c>
    </row>
    <row r="39" spans="2:7" ht="15" customHeight="1" x14ac:dyDescent="0.35">
      <c r="B39" s="45"/>
      <c r="C39" s="116" t="s">
        <v>15</v>
      </c>
      <c r="D39" s="117">
        <v>40</v>
      </c>
      <c r="E39" s="47"/>
      <c r="F39" s="118" t="s">
        <v>15</v>
      </c>
      <c r="G39" s="117">
        <v>40</v>
      </c>
    </row>
    <row r="40" spans="2:7" ht="15" customHeight="1" x14ac:dyDescent="0.35">
      <c r="C40" s="116" t="s">
        <v>16</v>
      </c>
      <c r="D40" s="117">
        <v>50</v>
      </c>
      <c r="E40" s="47"/>
      <c r="F40" s="118" t="s">
        <v>16</v>
      </c>
      <c r="G40" s="117">
        <v>50</v>
      </c>
    </row>
    <row r="41" spans="2:7" ht="15" customHeight="1" x14ac:dyDescent="0.35">
      <c r="C41" s="116" t="s">
        <v>17</v>
      </c>
      <c r="D41" s="117">
        <v>20</v>
      </c>
      <c r="E41" s="47"/>
      <c r="F41" s="118" t="s">
        <v>17</v>
      </c>
      <c r="G41" s="117">
        <v>20</v>
      </c>
    </row>
    <row r="42" spans="2:7" ht="15" customHeight="1" thickBot="1" x14ac:dyDescent="0.4">
      <c r="C42" s="46"/>
      <c r="D42" s="46"/>
      <c r="E42" s="46"/>
      <c r="F42" s="46"/>
      <c r="G42" s="46"/>
    </row>
    <row r="43" spans="2:7" ht="15" customHeight="1" thickTop="1" thickBot="1" x14ac:dyDescent="0.4">
      <c r="B43" s="45"/>
      <c r="C43" s="62"/>
      <c r="D43" s="50" t="str">
        <f>IF(C43="","",VLOOKUP(C43,C37:D41,2,FALSE))</f>
        <v/>
      </c>
      <c r="E43" s="47"/>
      <c r="F43" s="96" t="s">
        <v>286</v>
      </c>
      <c r="G43" s="50" t="str">
        <f>IFERROR(VLOOKUP(F43,F37:G41,2,FALSE),"")</f>
        <v/>
      </c>
    </row>
    <row r="44" spans="2:7" ht="15" customHeight="1" thickTop="1" x14ac:dyDescent="0.35">
      <c r="B44" s="45"/>
      <c r="C44" s="45"/>
      <c r="D44" s="46"/>
      <c r="E44" s="45"/>
      <c r="F44" s="45"/>
      <c r="G44" s="45"/>
    </row>
    <row r="45" spans="2:7" ht="15" customHeight="1" x14ac:dyDescent="0.35">
      <c r="B45" s="45"/>
      <c r="C45" s="45"/>
      <c r="D45" s="141"/>
      <c r="E45" s="45"/>
      <c r="F45" s="45"/>
      <c r="G45" s="45"/>
    </row>
    <row r="46" spans="2:7" ht="15" customHeight="1" x14ac:dyDescent="0.35">
      <c r="B46" s="45"/>
      <c r="C46" s="45"/>
      <c r="D46" s="46"/>
      <c r="E46" s="45"/>
      <c r="F46" s="45"/>
      <c r="G46" s="45"/>
    </row>
    <row r="47" spans="2:7" ht="15" customHeight="1" x14ac:dyDescent="0.35">
      <c r="B47" s="45"/>
      <c r="C47" s="45"/>
      <c r="D47" s="46"/>
      <c r="E47" s="45"/>
      <c r="F47" s="45"/>
      <c r="G47" s="45"/>
    </row>
    <row r="48" spans="2:7" ht="15" customHeight="1" x14ac:dyDescent="0.35">
      <c r="B48" s="45"/>
      <c r="C48" s="45"/>
      <c r="D48" s="46"/>
      <c r="E48" s="45"/>
      <c r="F48" s="45"/>
      <c r="G48" s="45"/>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topLeftCell="A9" workbookViewId="0">
      <selection activeCell="H17" sqref="H17"/>
    </sheetView>
  </sheetViews>
  <sheetFormatPr defaultColWidth="8.90625" defaultRowHeight="14.5" x14ac:dyDescent="0.35"/>
  <cols>
    <col min="1" max="1" width="12.6328125" style="9" customWidth="1"/>
    <col min="2" max="2" width="82.90625" style="24" customWidth="1"/>
    <col min="3" max="4" width="12.6328125" style="20" customWidth="1"/>
    <col min="5" max="5" width="8.453125" style="20" bestFit="1" customWidth="1"/>
    <col min="6" max="8" width="12.6328125" style="20" customWidth="1"/>
    <col min="9" max="25" width="8.90625" style="20"/>
    <col min="26" max="26" width="8.90625" style="20" hidden="1" customWidth="1"/>
    <col min="27" max="27" width="2.36328125" style="20" hidden="1" customWidth="1"/>
    <col min="28" max="28" width="11" style="20" hidden="1" customWidth="1"/>
    <col min="29" max="29" width="2.36328125" style="20" hidden="1" customWidth="1"/>
    <col min="30" max="30" width="11" style="20" hidden="1" customWidth="1"/>
    <col min="31" max="31" width="2.36328125" style="20" hidden="1" customWidth="1"/>
    <col min="32" max="32" width="11" style="20" hidden="1" customWidth="1"/>
    <col min="33" max="33" width="2.36328125" style="20" hidden="1" customWidth="1"/>
    <col min="34" max="34" width="11" style="20" hidden="1" customWidth="1"/>
    <col min="35" max="16384" width="8.90625" style="20"/>
  </cols>
  <sheetData>
    <row r="1" spans="1:34" ht="60" customHeight="1" x14ac:dyDescent="0.35">
      <c r="A1" s="29" t="s">
        <v>222</v>
      </c>
      <c r="B1" s="9"/>
      <c r="C1" s="80"/>
      <c r="D1" s="92"/>
      <c r="E1" s="92"/>
      <c r="F1" s="92"/>
      <c r="G1" s="92"/>
      <c r="H1" s="92"/>
      <c r="I1" s="45"/>
      <c r="J1" s="45"/>
      <c r="K1" s="45"/>
      <c r="L1" s="45"/>
      <c r="M1" s="45"/>
      <c r="N1" s="45"/>
      <c r="O1" s="45"/>
      <c r="P1" s="45"/>
      <c r="Q1" s="45"/>
      <c r="R1" s="45"/>
      <c r="S1" s="45"/>
      <c r="T1" s="45"/>
      <c r="U1" s="45"/>
      <c r="V1" s="45"/>
      <c r="W1" s="45"/>
      <c r="X1" s="45"/>
      <c r="Y1" s="45"/>
      <c r="Z1" s="45"/>
      <c r="AA1" s="45"/>
      <c r="AB1" s="45"/>
      <c r="AC1" s="45"/>
      <c r="AD1" s="45"/>
      <c r="AE1" s="45"/>
      <c r="AF1" s="45"/>
      <c r="AG1" s="45"/>
      <c r="AH1" s="45"/>
    </row>
    <row r="2" spans="1:34" ht="15" customHeight="1" x14ac:dyDescent="0.35">
      <c r="A2" s="29" t="s">
        <v>223</v>
      </c>
      <c r="B2" s="9"/>
      <c r="C2" s="7" t="s">
        <v>1</v>
      </c>
      <c r="D2" s="8" t="s">
        <v>2</v>
      </c>
      <c r="E2" s="47"/>
      <c r="F2" s="7" t="s">
        <v>1</v>
      </c>
      <c r="G2" s="7" t="s">
        <v>44</v>
      </c>
      <c r="H2" s="8" t="s">
        <v>2</v>
      </c>
      <c r="I2" s="45"/>
      <c r="J2" s="45"/>
      <c r="K2" s="45"/>
      <c r="L2" s="45"/>
      <c r="M2" s="45"/>
      <c r="N2" s="45"/>
      <c r="O2" s="45"/>
      <c r="P2" s="45"/>
      <c r="Q2" s="45"/>
      <c r="R2" s="45"/>
      <c r="S2" s="45"/>
      <c r="T2" s="45"/>
      <c r="U2" s="45"/>
      <c r="V2" s="45"/>
      <c r="W2" s="45"/>
      <c r="X2" s="45"/>
      <c r="Y2" s="45"/>
      <c r="Z2" s="7" t="s">
        <v>1</v>
      </c>
      <c r="AA2" s="45"/>
      <c r="AB2" s="7" t="s">
        <v>4</v>
      </c>
      <c r="AC2" s="45"/>
      <c r="AD2" s="7" t="s">
        <v>6</v>
      </c>
      <c r="AE2" s="45"/>
      <c r="AF2" s="7" t="s">
        <v>8</v>
      </c>
      <c r="AG2" s="45"/>
      <c r="AH2" s="7" t="s">
        <v>10</v>
      </c>
    </row>
    <row r="3" spans="1:34" ht="15" customHeight="1" x14ac:dyDescent="0.35">
      <c r="A3" s="29" t="s">
        <v>224</v>
      </c>
      <c r="B3" s="9"/>
      <c r="C3" s="116" t="s">
        <v>4</v>
      </c>
      <c r="D3" s="117">
        <v>50</v>
      </c>
      <c r="E3" s="47"/>
      <c r="F3" s="116" t="s">
        <v>4</v>
      </c>
      <c r="G3" s="116" t="s">
        <v>45</v>
      </c>
      <c r="H3" s="117">
        <v>50</v>
      </c>
      <c r="I3" s="45"/>
      <c r="J3" s="45"/>
      <c r="K3" s="45"/>
      <c r="L3" s="45"/>
      <c r="M3" s="45"/>
      <c r="N3" s="45"/>
      <c r="O3" s="45"/>
      <c r="P3" s="45"/>
      <c r="Q3" s="45"/>
      <c r="R3" s="45"/>
      <c r="S3" s="45"/>
      <c r="T3" s="45"/>
      <c r="U3" s="45"/>
      <c r="V3" s="45"/>
      <c r="W3" s="45"/>
      <c r="X3" s="45"/>
      <c r="Y3" s="45"/>
      <c r="Z3" s="48" t="s">
        <v>4</v>
      </c>
      <c r="AA3" s="45"/>
      <c r="AB3" s="48" t="s">
        <v>45</v>
      </c>
      <c r="AC3" s="45"/>
      <c r="AD3" s="48" t="s">
        <v>46</v>
      </c>
      <c r="AE3" s="45"/>
      <c r="AF3" s="48" t="s">
        <v>47</v>
      </c>
      <c r="AG3" s="45"/>
      <c r="AH3" s="48" t="s">
        <v>48</v>
      </c>
    </row>
    <row r="4" spans="1:34" ht="15" customHeight="1" x14ac:dyDescent="0.35">
      <c r="A4" s="29" t="s">
        <v>225</v>
      </c>
      <c r="B4" s="9"/>
      <c r="C4" s="116" t="s">
        <v>6</v>
      </c>
      <c r="D4" s="117">
        <v>20</v>
      </c>
      <c r="E4" s="47"/>
      <c r="F4" s="116" t="s">
        <v>6</v>
      </c>
      <c r="G4" s="116" t="s">
        <v>46</v>
      </c>
      <c r="H4" s="117">
        <v>20</v>
      </c>
      <c r="I4" s="45"/>
      <c r="J4" s="5"/>
      <c r="K4" s="5"/>
      <c r="L4" s="5"/>
      <c r="M4" s="5"/>
      <c r="N4" s="5"/>
      <c r="O4" s="45"/>
      <c r="P4" s="45"/>
      <c r="Q4" s="45"/>
      <c r="R4" s="45"/>
      <c r="S4" s="45"/>
      <c r="T4" s="45"/>
      <c r="U4" s="45"/>
      <c r="V4" s="45"/>
      <c r="W4" s="45"/>
      <c r="X4" s="45"/>
      <c r="Y4" s="45"/>
      <c r="Z4" s="48" t="s">
        <v>6</v>
      </c>
      <c r="AA4" s="45"/>
      <c r="AB4" s="48" t="s">
        <v>49</v>
      </c>
      <c r="AC4" s="45"/>
      <c r="AD4" s="48" t="s">
        <v>50</v>
      </c>
      <c r="AE4" s="45"/>
      <c r="AF4" s="48" t="s">
        <v>51</v>
      </c>
      <c r="AG4" s="45"/>
      <c r="AH4" s="48" t="s">
        <v>52</v>
      </c>
    </row>
    <row r="5" spans="1:34" s="22" customFormat="1" ht="15" customHeight="1" x14ac:dyDescent="0.45">
      <c r="A5" s="29" t="s">
        <v>226</v>
      </c>
      <c r="B5" s="46"/>
      <c r="C5" s="116" t="s">
        <v>8</v>
      </c>
      <c r="D5" s="117">
        <v>60</v>
      </c>
      <c r="E5" s="47"/>
      <c r="F5" s="116" t="s">
        <v>8</v>
      </c>
      <c r="G5" s="116" t="s">
        <v>47</v>
      </c>
      <c r="H5" s="117">
        <v>60</v>
      </c>
      <c r="I5" s="45"/>
      <c r="J5" s="5"/>
      <c r="K5" s="21"/>
      <c r="L5" s="5"/>
      <c r="M5" s="5"/>
      <c r="N5" s="5"/>
      <c r="O5" s="45"/>
      <c r="P5" s="45"/>
      <c r="Q5" s="46"/>
      <c r="R5" s="46"/>
      <c r="S5" s="46"/>
      <c r="T5" s="46"/>
      <c r="U5" s="46"/>
      <c r="V5" s="46"/>
      <c r="W5" s="46"/>
      <c r="X5" s="46"/>
      <c r="Y5" s="46"/>
      <c r="Z5" s="48" t="s">
        <v>8</v>
      </c>
      <c r="AA5" s="46"/>
      <c r="AB5" s="46"/>
      <c r="AC5" s="46"/>
      <c r="AD5" s="46"/>
      <c r="AE5" s="46"/>
      <c r="AF5" s="46"/>
      <c r="AG5" s="46"/>
      <c r="AH5" s="46"/>
    </row>
    <row r="6" spans="1:34" s="22" customFormat="1" ht="15" customHeight="1" x14ac:dyDescent="0.35">
      <c r="A6" s="29" t="s">
        <v>227</v>
      </c>
      <c r="B6" s="46"/>
      <c r="C6" s="116" t="s">
        <v>10</v>
      </c>
      <c r="D6" s="117">
        <v>40</v>
      </c>
      <c r="E6" s="47"/>
      <c r="F6" s="116" t="s">
        <v>10</v>
      </c>
      <c r="G6" s="116" t="s">
        <v>48</v>
      </c>
      <c r="H6" s="117">
        <v>40</v>
      </c>
      <c r="I6" s="45"/>
      <c r="J6" s="45"/>
      <c r="K6" s="45"/>
      <c r="L6" s="45"/>
      <c r="M6" s="45"/>
      <c r="N6" s="5"/>
      <c r="O6" s="45"/>
      <c r="P6" s="45"/>
      <c r="Q6" s="46"/>
      <c r="R6" s="46"/>
      <c r="S6" s="46"/>
      <c r="T6" s="46"/>
      <c r="U6" s="46"/>
      <c r="V6" s="46"/>
      <c r="W6" s="46"/>
      <c r="X6" s="46"/>
      <c r="Y6" s="46"/>
      <c r="Z6" s="48" t="s">
        <v>10</v>
      </c>
      <c r="AA6" s="46"/>
      <c r="AB6" s="46"/>
      <c r="AC6" s="46"/>
      <c r="AD6" s="46"/>
      <c r="AE6" s="46"/>
      <c r="AF6" s="46"/>
      <c r="AG6" s="46"/>
      <c r="AH6" s="46"/>
    </row>
    <row r="7" spans="1:34" s="22" customFormat="1" ht="15" customHeight="1" x14ac:dyDescent="0.35">
      <c r="A7" s="29" t="s">
        <v>287</v>
      </c>
      <c r="B7" s="46"/>
      <c r="C7" s="116" t="s">
        <v>4</v>
      </c>
      <c r="D7" s="117">
        <v>50</v>
      </c>
      <c r="E7" s="47"/>
      <c r="F7" s="116" t="s">
        <v>4</v>
      </c>
      <c r="G7" s="116" t="s">
        <v>49</v>
      </c>
      <c r="H7" s="117">
        <v>50</v>
      </c>
      <c r="I7" s="46"/>
      <c r="J7" s="46"/>
      <c r="K7" s="46"/>
      <c r="L7" s="46"/>
      <c r="M7" s="46"/>
      <c r="N7" s="5"/>
      <c r="O7" s="46"/>
      <c r="P7" s="46"/>
      <c r="Q7" s="46"/>
      <c r="R7" s="46"/>
      <c r="S7" s="46"/>
      <c r="T7" s="46"/>
      <c r="U7" s="46"/>
      <c r="V7" s="46"/>
      <c r="W7" s="46"/>
      <c r="X7" s="46"/>
      <c r="Y7" s="46"/>
      <c r="Z7" s="46"/>
      <c r="AA7" s="46"/>
      <c r="AB7" s="46"/>
      <c r="AC7" s="46"/>
      <c r="AD7" s="46"/>
      <c r="AE7" s="46"/>
      <c r="AF7" s="46"/>
      <c r="AG7" s="46"/>
      <c r="AH7" s="46"/>
    </row>
    <row r="8" spans="1:34" s="22" customFormat="1" ht="15" customHeight="1" x14ac:dyDescent="0.35">
      <c r="A8" s="29" t="s">
        <v>228</v>
      </c>
      <c r="B8" s="46"/>
      <c r="C8" s="116" t="s">
        <v>6</v>
      </c>
      <c r="D8" s="117">
        <v>20</v>
      </c>
      <c r="E8" s="47"/>
      <c r="F8" s="116" t="s">
        <v>6</v>
      </c>
      <c r="G8" s="116" t="s">
        <v>50</v>
      </c>
      <c r="H8" s="117">
        <v>20</v>
      </c>
      <c r="I8" s="46"/>
      <c r="J8" s="46"/>
      <c r="K8" s="46"/>
      <c r="L8" s="46"/>
      <c r="M8" s="46"/>
      <c r="N8" s="5"/>
      <c r="O8" s="46"/>
      <c r="P8" s="46"/>
      <c r="Q8" s="46"/>
      <c r="R8" s="46"/>
      <c r="S8" s="46"/>
      <c r="T8" s="46"/>
      <c r="U8" s="46"/>
      <c r="V8" s="46"/>
      <c r="W8" s="46"/>
      <c r="X8" s="46"/>
      <c r="Y8" s="46"/>
      <c r="Z8" s="46"/>
      <c r="AA8" s="46"/>
      <c r="AB8" s="46"/>
      <c r="AC8" s="46"/>
      <c r="AD8" s="46"/>
      <c r="AE8" s="46"/>
      <c r="AF8" s="46"/>
      <c r="AG8" s="46"/>
      <c r="AH8" s="46"/>
    </row>
    <row r="9" spans="1:34" s="22" customFormat="1" ht="15" customHeight="1" x14ac:dyDescent="0.35">
      <c r="A9" s="29" t="s">
        <v>229</v>
      </c>
      <c r="B9" s="46"/>
      <c r="C9" s="116" t="s">
        <v>8</v>
      </c>
      <c r="D9" s="117">
        <v>60</v>
      </c>
      <c r="E9" s="47"/>
      <c r="F9" s="116" t="s">
        <v>8</v>
      </c>
      <c r="G9" s="116" t="s">
        <v>51</v>
      </c>
      <c r="H9" s="117">
        <v>60</v>
      </c>
      <c r="I9" s="46"/>
      <c r="J9" s="46"/>
      <c r="K9" s="46"/>
      <c r="L9" s="46"/>
      <c r="M9" s="46"/>
      <c r="N9" s="5"/>
      <c r="O9" s="46"/>
      <c r="P9" s="46"/>
      <c r="Q9" s="46"/>
      <c r="R9" s="46"/>
      <c r="S9" s="46"/>
      <c r="T9" s="46"/>
      <c r="U9" s="46"/>
      <c r="V9" s="46"/>
      <c r="W9" s="46"/>
      <c r="X9" s="46"/>
      <c r="Y9" s="46"/>
      <c r="Z9" s="46"/>
      <c r="AA9" s="46"/>
      <c r="AB9" s="46"/>
      <c r="AC9" s="46"/>
      <c r="AD9" s="46"/>
      <c r="AE9" s="46"/>
      <c r="AF9" s="46"/>
      <c r="AG9" s="46"/>
      <c r="AH9" s="46"/>
    </row>
    <row r="10" spans="1:34" s="22" customFormat="1" ht="15" customHeight="1" x14ac:dyDescent="0.35">
      <c r="A10" s="29" t="s">
        <v>230</v>
      </c>
      <c r="B10" s="46"/>
      <c r="C10" s="116" t="s">
        <v>10</v>
      </c>
      <c r="D10" s="117">
        <v>40</v>
      </c>
      <c r="E10" s="47"/>
      <c r="F10" s="116" t="s">
        <v>10</v>
      </c>
      <c r="G10" s="116" t="s">
        <v>52</v>
      </c>
      <c r="H10" s="117">
        <v>40</v>
      </c>
      <c r="I10" s="46"/>
      <c r="J10" s="5"/>
      <c r="K10" s="5"/>
      <c r="L10" s="5"/>
      <c r="M10" s="5"/>
      <c r="N10" s="5"/>
      <c r="O10" s="46"/>
      <c r="P10" s="46"/>
      <c r="Q10" s="46"/>
      <c r="R10" s="46"/>
      <c r="S10" s="46"/>
      <c r="T10" s="46"/>
      <c r="U10" s="46"/>
      <c r="V10" s="46"/>
      <c r="W10" s="46"/>
      <c r="X10" s="46"/>
      <c r="Y10" s="46"/>
      <c r="Z10" s="46"/>
      <c r="AA10" s="46"/>
      <c r="AB10" s="46"/>
      <c r="AC10" s="46"/>
      <c r="AD10" s="46"/>
      <c r="AE10" s="46"/>
      <c r="AF10" s="46"/>
      <c r="AG10" s="46"/>
      <c r="AH10" s="46"/>
    </row>
    <row r="11" spans="1:34" s="22" customFormat="1" ht="15" customHeight="1" x14ac:dyDescent="0.35">
      <c r="A11" s="29" t="s">
        <v>231</v>
      </c>
      <c r="B11" s="46"/>
      <c r="C11" s="116" t="s">
        <v>4</v>
      </c>
      <c r="D11" s="117">
        <v>50</v>
      </c>
      <c r="E11" s="47"/>
      <c r="F11" s="116" t="s">
        <v>4</v>
      </c>
      <c r="G11" s="116" t="s">
        <v>49</v>
      </c>
      <c r="H11" s="117">
        <v>50</v>
      </c>
      <c r="I11" s="46"/>
      <c r="J11" s="51"/>
      <c r="K11" s="10"/>
      <c r="L11" s="5"/>
      <c r="M11" s="5"/>
      <c r="N11" s="5"/>
      <c r="O11" s="46"/>
      <c r="P11" s="46"/>
      <c r="Q11" s="46"/>
      <c r="R11" s="46"/>
      <c r="S11" s="46"/>
      <c r="T11" s="46"/>
      <c r="U11" s="46"/>
      <c r="V11" s="46"/>
      <c r="W11" s="46"/>
      <c r="X11" s="46"/>
      <c r="Y11" s="46"/>
      <c r="Z11" s="46"/>
      <c r="AA11" s="46"/>
      <c r="AB11" s="46"/>
      <c r="AC11" s="46"/>
      <c r="AD11" s="46"/>
      <c r="AE11" s="46"/>
      <c r="AF11" s="46"/>
      <c r="AG11" s="46"/>
      <c r="AH11" s="46"/>
    </row>
    <row r="12" spans="1:34" s="22" customFormat="1" ht="15" customHeight="1" x14ac:dyDescent="0.35">
      <c r="A12" s="29" t="s">
        <v>232</v>
      </c>
      <c r="B12" s="46"/>
      <c r="C12" s="116" t="s">
        <v>6</v>
      </c>
      <c r="D12" s="117">
        <v>20</v>
      </c>
      <c r="E12" s="47"/>
      <c r="F12" s="116" t="s">
        <v>6</v>
      </c>
      <c r="G12" s="116" t="s">
        <v>50</v>
      </c>
      <c r="H12" s="117">
        <v>20</v>
      </c>
      <c r="I12" s="46"/>
      <c r="J12" s="51"/>
      <c r="K12" s="6"/>
      <c r="L12" s="5"/>
      <c r="M12" s="5"/>
      <c r="N12" s="5"/>
      <c r="O12" s="46"/>
      <c r="P12" s="46"/>
      <c r="Q12" s="46"/>
      <c r="R12" s="46"/>
      <c r="S12" s="46"/>
      <c r="T12" s="46"/>
      <c r="U12" s="46"/>
      <c r="V12" s="46"/>
      <c r="W12" s="46"/>
      <c r="X12" s="46"/>
      <c r="Y12" s="46"/>
      <c r="Z12" s="46"/>
      <c r="AA12" s="46"/>
      <c r="AB12" s="46"/>
      <c r="AC12" s="46"/>
      <c r="AD12" s="46"/>
      <c r="AE12" s="46"/>
      <c r="AF12" s="46"/>
      <c r="AG12" s="46"/>
      <c r="AH12" s="46"/>
    </row>
    <row r="13" spans="1:34" s="22" customFormat="1" ht="15" customHeight="1" x14ac:dyDescent="0.35">
      <c r="A13" s="31" t="s">
        <v>233</v>
      </c>
      <c r="B13" s="46"/>
      <c r="C13" s="116" t="s">
        <v>8</v>
      </c>
      <c r="D13" s="117">
        <v>60</v>
      </c>
      <c r="E13" s="47"/>
      <c r="F13" s="116" t="s">
        <v>8</v>
      </c>
      <c r="G13" s="116" t="s">
        <v>47</v>
      </c>
      <c r="H13" s="117">
        <v>60</v>
      </c>
      <c r="I13" s="46"/>
      <c r="J13" s="51"/>
      <c r="K13" s="6"/>
      <c r="L13" s="5"/>
      <c r="M13" s="5"/>
      <c r="N13" s="5"/>
      <c r="O13" s="46"/>
      <c r="P13" s="46"/>
      <c r="Q13" s="46"/>
      <c r="R13" s="46"/>
      <c r="S13" s="46"/>
      <c r="T13" s="46"/>
      <c r="U13" s="46"/>
      <c r="V13" s="46"/>
      <c r="W13" s="46"/>
      <c r="X13" s="46"/>
      <c r="Y13" s="46"/>
      <c r="Z13" s="46"/>
      <c r="AA13" s="46"/>
      <c r="AB13" s="46"/>
      <c r="AC13" s="46"/>
      <c r="AD13" s="46"/>
      <c r="AE13" s="46"/>
      <c r="AF13" s="46"/>
      <c r="AG13" s="46"/>
      <c r="AH13" s="46"/>
    </row>
    <row r="14" spans="1:34" s="22" customFormat="1" ht="15" customHeight="1" x14ac:dyDescent="0.35">
      <c r="A14" s="30" t="s">
        <v>234</v>
      </c>
      <c r="B14" s="46"/>
      <c r="C14" s="116" t="s">
        <v>10</v>
      </c>
      <c r="D14" s="117">
        <v>40</v>
      </c>
      <c r="E14" s="47"/>
      <c r="F14" s="116" t="s">
        <v>10</v>
      </c>
      <c r="G14" s="116" t="s">
        <v>52</v>
      </c>
      <c r="H14" s="117">
        <v>40</v>
      </c>
      <c r="I14" s="46"/>
      <c r="J14" s="51"/>
      <c r="K14" s="52"/>
      <c r="L14" s="5"/>
      <c r="M14" s="5"/>
      <c r="N14" s="5"/>
      <c r="O14" s="46"/>
      <c r="P14" s="46"/>
      <c r="Q14" s="46"/>
      <c r="R14" s="46"/>
      <c r="S14" s="46"/>
      <c r="T14" s="46"/>
      <c r="U14" s="46"/>
      <c r="V14" s="46"/>
      <c r="W14" s="46"/>
      <c r="X14" s="46"/>
      <c r="Y14" s="46"/>
      <c r="Z14" s="46"/>
      <c r="AA14" s="46"/>
      <c r="AB14" s="46"/>
      <c r="AC14" s="46"/>
      <c r="AD14" s="46"/>
      <c r="AE14" s="46"/>
      <c r="AF14" s="46"/>
      <c r="AG14" s="46"/>
      <c r="AH14" s="46"/>
    </row>
    <row r="15" spans="1:34" s="22" customFormat="1" ht="15" customHeight="1" x14ac:dyDescent="0.35">
      <c r="A15" s="31" t="s">
        <v>298</v>
      </c>
      <c r="B15" s="46"/>
      <c r="C15" s="23"/>
      <c r="D15" s="23"/>
      <c r="E15" s="23"/>
      <c r="F15" s="23"/>
      <c r="G15" s="23"/>
      <c r="H15" s="23"/>
      <c r="I15" s="46"/>
      <c r="J15" s="51"/>
      <c r="K15" s="53"/>
      <c r="L15" s="5"/>
      <c r="M15" s="5"/>
      <c r="N15" s="5"/>
      <c r="O15" s="46"/>
      <c r="P15" s="46"/>
      <c r="Q15" s="46"/>
      <c r="R15" s="46"/>
      <c r="S15" s="46"/>
      <c r="T15" s="46"/>
      <c r="U15" s="46"/>
      <c r="V15" s="46"/>
      <c r="W15" s="46"/>
      <c r="X15" s="46"/>
      <c r="Y15" s="46"/>
      <c r="Z15" s="46"/>
      <c r="AA15" s="46"/>
      <c r="AB15" s="46"/>
      <c r="AC15" s="46"/>
      <c r="AD15" s="46"/>
      <c r="AE15" s="46"/>
      <c r="AF15" s="46"/>
      <c r="AG15" s="46"/>
      <c r="AH15" s="46"/>
    </row>
    <row r="16" spans="1:34" s="22" customFormat="1" ht="15" customHeight="1" thickBot="1" x14ac:dyDescent="0.4">
      <c r="A16" s="29" t="s">
        <v>136</v>
      </c>
      <c r="B16" s="46"/>
      <c r="C16" s="46" t="s">
        <v>1</v>
      </c>
      <c r="D16" s="25" t="s">
        <v>53</v>
      </c>
      <c r="E16" s="47"/>
      <c r="F16" s="46" t="s">
        <v>1</v>
      </c>
      <c r="G16" s="46" t="s">
        <v>44</v>
      </c>
      <c r="H16" s="25" t="s">
        <v>54</v>
      </c>
      <c r="I16" s="46"/>
      <c r="J16" s="51"/>
      <c r="K16" s="10"/>
      <c r="L16" s="5"/>
      <c r="M16" s="5"/>
      <c r="N16" s="5"/>
      <c r="O16" s="46"/>
      <c r="P16" s="46"/>
      <c r="Q16" s="46"/>
      <c r="R16" s="46"/>
      <c r="S16" s="46"/>
      <c r="T16" s="46"/>
      <c r="U16" s="46"/>
      <c r="V16" s="46"/>
      <c r="W16" s="46"/>
      <c r="X16" s="46"/>
      <c r="Y16" s="46"/>
      <c r="Z16" s="46"/>
      <c r="AA16" s="46"/>
      <c r="AB16" s="46"/>
      <c r="AC16" s="46"/>
      <c r="AD16" s="46"/>
      <c r="AE16" s="46"/>
      <c r="AF16" s="46"/>
      <c r="AG16" s="46"/>
      <c r="AH16" s="46"/>
    </row>
    <row r="17" spans="1:34" s="22" customFormat="1" ht="15" customHeight="1" thickTop="1" thickBot="1" x14ac:dyDescent="0.5">
      <c r="A17" s="29" t="s">
        <v>137</v>
      </c>
      <c r="B17" s="46"/>
      <c r="C17" s="54" t="s">
        <v>4</v>
      </c>
      <c r="D17" s="55"/>
      <c r="E17" s="47"/>
      <c r="F17" s="54"/>
      <c r="G17" s="54" t="s">
        <v>46</v>
      </c>
      <c r="H17" s="50"/>
      <c r="I17" s="46"/>
      <c r="J17" s="135"/>
      <c r="K17" s="6"/>
      <c r="L17" s="5"/>
      <c r="M17" s="5"/>
      <c r="N17" s="5"/>
      <c r="O17" s="46"/>
      <c r="P17" s="46"/>
      <c r="Q17" s="46"/>
      <c r="R17" s="46"/>
      <c r="S17" s="46"/>
      <c r="T17" s="46"/>
      <c r="U17" s="46"/>
      <c r="V17" s="46"/>
      <c r="W17" s="46"/>
      <c r="X17" s="46"/>
      <c r="Y17" s="46"/>
      <c r="Z17" s="46"/>
      <c r="AA17" s="46"/>
      <c r="AB17" s="46"/>
      <c r="AC17" s="46"/>
      <c r="AD17" s="46"/>
      <c r="AE17" s="46"/>
      <c r="AF17" s="46"/>
      <c r="AG17" s="46"/>
      <c r="AH17" s="46"/>
    </row>
    <row r="18" spans="1:34" s="22" customFormat="1" ht="15" customHeight="1" thickTop="1" x14ac:dyDescent="0.35">
      <c r="A18" s="29" t="s">
        <v>235</v>
      </c>
      <c r="B18" s="46"/>
      <c r="C18" s="46"/>
      <c r="D18" s="46"/>
      <c r="E18" s="47"/>
      <c r="F18" s="46"/>
      <c r="G18" s="46"/>
      <c r="H18" s="46"/>
      <c r="I18" s="46"/>
      <c r="J18" s="51"/>
      <c r="K18" s="52"/>
      <c r="L18" s="5"/>
      <c r="M18" s="5"/>
      <c r="N18" s="5"/>
      <c r="O18" s="46"/>
      <c r="P18" s="46"/>
      <c r="Q18" s="46"/>
      <c r="R18" s="46"/>
      <c r="S18" s="46"/>
      <c r="T18" s="46"/>
      <c r="U18" s="46"/>
      <c r="V18" s="46"/>
      <c r="W18" s="46"/>
      <c r="X18" s="46"/>
      <c r="Y18" s="46"/>
      <c r="Z18" s="46"/>
      <c r="AA18" s="46"/>
      <c r="AB18" s="46"/>
      <c r="AC18" s="46"/>
      <c r="AD18" s="46"/>
      <c r="AE18" s="46"/>
      <c r="AF18" s="46"/>
      <c r="AG18" s="46"/>
      <c r="AH18" s="46"/>
    </row>
    <row r="19" spans="1:34" s="22" customFormat="1" ht="15" customHeight="1" x14ac:dyDescent="0.35">
      <c r="A19" s="29" t="s">
        <v>236</v>
      </c>
      <c r="B19" s="46"/>
      <c r="C19" s="1"/>
      <c r="D19" s="1"/>
      <c r="E19" s="1"/>
      <c r="F19" s="1"/>
      <c r="G19" s="1"/>
      <c r="H19" s="1"/>
      <c r="I19" s="46"/>
      <c r="J19" s="51"/>
      <c r="K19" s="53"/>
      <c r="L19" s="5"/>
      <c r="M19" s="5"/>
      <c r="N19" s="46"/>
      <c r="O19" s="46"/>
      <c r="P19" s="46"/>
      <c r="Q19" s="46"/>
      <c r="R19" s="46"/>
      <c r="S19" s="46"/>
      <c r="T19" s="46"/>
      <c r="U19" s="46"/>
      <c r="V19" s="46"/>
      <c r="W19" s="46"/>
      <c r="X19" s="46"/>
      <c r="Y19" s="46"/>
      <c r="Z19" s="46"/>
      <c r="AA19" s="46"/>
      <c r="AB19" s="46"/>
      <c r="AC19" s="46"/>
      <c r="AD19" s="46"/>
      <c r="AE19" s="46"/>
      <c r="AF19" s="46"/>
      <c r="AG19" s="46"/>
      <c r="AH19" s="46"/>
    </row>
    <row r="20" spans="1:34" s="22" customFormat="1" ht="15" customHeight="1" x14ac:dyDescent="0.35">
      <c r="A20" s="29" t="s">
        <v>309</v>
      </c>
      <c r="B20" s="46"/>
      <c r="C20" s="1"/>
      <c r="D20" s="1"/>
      <c r="E20" s="1"/>
      <c r="F20" s="1"/>
      <c r="G20" s="1"/>
      <c r="H20" s="1"/>
      <c r="I20" s="46"/>
      <c r="J20" s="56"/>
      <c r="K20" s="10"/>
      <c r="L20" s="46"/>
      <c r="M20" s="5"/>
      <c r="N20" s="46"/>
      <c r="O20" s="46"/>
      <c r="P20" s="46"/>
      <c r="Q20" s="46"/>
      <c r="R20" s="46"/>
      <c r="S20" s="46"/>
      <c r="T20" s="46"/>
      <c r="U20" s="46"/>
      <c r="V20" s="46"/>
      <c r="W20" s="46"/>
      <c r="X20" s="46"/>
      <c r="Y20" s="46"/>
      <c r="Z20" s="46"/>
      <c r="AA20" s="46"/>
      <c r="AB20" s="46"/>
      <c r="AC20" s="46"/>
      <c r="AD20" s="46"/>
      <c r="AE20" s="46"/>
      <c r="AF20" s="46"/>
      <c r="AG20" s="46"/>
      <c r="AH20" s="46"/>
    </row>
    <row r="21" spans="1:34" s="22" customFormat="1" ht="15" customHeight="1" x14ac:dyDescent="0.35">
      <c r="A21" s="29" t="s">
        <v>237</v>
      </c>
      <c r="B21" s="46"/>
      <c r="C21" s="1"/>
      <c r="D21" s="1"/>
      <c r="E21" s="1"/>
      <c r="F21" s="1"/>
      <c r="G21" s="1"/>
      <c r="H21" s="1"/>
      <c r="I21" s="46"/>
      <c r="J21" s="56"/>
      <c r="K21" s="6"/>
      <c r="L21" s="46"/>
      <c r="M21" s="5"/>
      <c r="N21" s="46"/>
      <c r="O21" s="46"/>
      <c r="P21" s="46"/>
      <c r="Q21" s="46"/>
      <c r="R21" s="46"/>
      <c r="S21" s="46"/>
      <c r="T21" s="46"/>
      <c r="U21" s="46"/>
      <c r="V21" s="46"/>
      <c r="W21" s="46"/>
      <c r="X21" s="46"/>
      <c r="Y21" s="46"/>
      <c r="Z21" s="46"/>
      <c r="AA21" s="46"/>
      <c r="AB21" s="46"/>
      <c r="AC21" s="46"/>
      <c r="AD21" s="46"/>
      <c r="AE21" s="46"/>
      <c r="AF21" s="46"/>
      <c r="AG21" s="46"/>
      <c r="AH21" s="46"/>
    </row>
    <row r="22" spans="1:34" s="22" customFormat="1" ht="15" customHeight="1" x14ac:dyDescent="0.35">
      <c r="A22" s="29" t="s">
        <v>226</v>
      </c>
      <c r="B22" s="46"/>
      <c r="C22" s="1"/>
      <c r="D22" s="1"/>
      <c r="E22" s="1"/>
      <c r="F22" s="1"/>
      <c r="G22" s="1"/>
      <c r="H22" s="1"/>
      <c r="I22" s="46"/>
      <c r="J22" s="45"/>
      <c r="K22" s="6"/>
      <c r="L22" s="57"/>
      <c r="M22" s="5"/>
      <c r="N22" s="46"/>
      <c r="O22" s="46"/>
      <c r="P22" s="46"/>
      <c r="Q22" s="46"/>
      <c r="R22" s="46"/>
      <c r="S22" s="46"/>
      <c r="T22" s="46"/>
      <c r="U22" s="46"/>
      <c r="V22" s="46"/>
      <c r="W22" s="46"/>
      <c r="X22" s="46"/>
      <c r="Y22" s="46"/>
      <c r="Z22" s="46"/>
      <c r="AA22" s="46"/>
      <c r="AB22" s="46"/>
      <c r="AC22" s="46"/>
      <c r="AD22" s="46"/>
      <c r="AE22" s="46"/>
      <c r="AF22" s="46"/>
      <c r="AG22" s="46"/>
      <c r="AH22" s="46"/>
    </row>
    <row r="23" spans="1:34" s="22" customFormat="1" ht="15" customHeight="1" x14ac:dyDescent="0.35">
      <c r="A23" s="29" t="s">
        <v>227</v>
      </c>
      <c r="B23" s="46"/>
      <c r="C23" s="1"/>
      <c r="D23" s="1"/>
      <c r="E23" s="1"/>
      <c r="F23" s="1"/>
      <c r="G23" s="1"/>
      <c r="H23" s="1"/>
      <c r="I23" s="46"/>
      <c r="J23" s="45"/>
      <c r="K23" s="58"/>
      <c r="L23" s="57"/>
      <c r="M23" s="5"/>
      <c r="N23" s="46"/>
      <c r="O23" s="46"/>
      <c r="P23" s="46"/>
      <c r="Q23" s="46"/>
      <c r="R23" s="46"/>
      <c r="S23" s="46"/>
      <c r="T23" s="46"/>
      <c r="U23" s="46"/>
      <c r="V23" s="46"/>
      <c r="W23" s="46"/>
      <c r="X23" s="46"/>
      <c r="Y23" s="46"/>
      <c r="Z23" s="46"/>
      <c r="AA23" s="46"/>
      <c r="AB23" s="46"/>
      <c r="AC23" s="46"/>
      <c r="AD23" s="46"/>
      <c r="AE23" s="46"/>
      <c r="AF23" s="46"/>
      <c r="AG23" s="46"/>
      <c r="AH23" s="46"/>
    </row>
    <row r="24" spans="1:34" s="22" customFormat="1" ht="15" customHeight="1" x14ac:dyDescent="0.35">
      <c r="A24" s="31" t="s">
        <v>308</v>
      </c>
      <c r="B24" s="46"/>
      <c r="C24" s="1"/>
      <c r="D24" s="1"/>
      <c r="E24" s="1"/>
      <c r="F24" s="1"/>
      <c r="G24" s="1"/>
      <c r="H24" s="1"/>
      <c r="I24" s="46"/>
      <c r="J24" s="45"/>
      <c r="K24" s="46"/>
      <c r="L24" s="57"/>
      <c r="M24" s="5"/>
      <c r="N24" s="46"/>
      <c r="O24" s="46"/>
      <c r="P24" s="46"/>
      <c r="Q24" s="46"/>
      <c r="R24" s="46"/>
      <c r="S24" s="46"/>
      <c r="T24" s="46"/>
      <c r="U24" s="46"/>
      <c r="V24" s="46"/>
      <c r="W24" s="46"/>
      <c r="X24" s="46"/>
      <c r="Y24" s="46"/>
      <c r="Z24" s="46"/>
      <c r="AA24" s="46"/>
      <c r="AB24" s="46"/>
      <c r="AC24" s="46"/>
      <c r="AD24" s="46"/>
      <c r="AE24" s="46"/>
      <c r="AF24" s="46"/>
      <c r="AG24" s="46"/>
      <c r="AH24" s="45"/>
    </row>
    <row r="25" spans="1:34" s="22" customFormat="1" ht="15" customHeight="1" x14ac:dyDescent="0.35">
      <c r="A25" s="29" t="s">
        <v>238</v>
      </c>
      <c r="B25" s="46"/>
      <c r="C25" s="1"/>
      <c r="D25" s="1"/>
      <c r="E25" s="1"/>
      <c r="F25" s="1"/>
      <c r="G25" s="1"/>
      <c r="H25" s="1"/>
      <c r="I25" s="46"/>
      <c r="J25" s="45"/>
      <c r="K25" s="46"/>
      <c r="L25" s="57"/>
      <c r="M25" s="5"/>
      <c r="N25" s="46"/>
      <c r="O25" s="46"/>
      <c r="P25" s="46"/>
      <c r="Q25" s="46"/>
      <c r="R25" s="46"/>
      <c r="S25" s="46"/>
      <c r="T25" s="46"/>
      <c r="U25" s="46"/>
      <c r="V25" s="46"/>
      <c r="W25" s="46"/>
      <c r="X25" s="46"/>
      <c r="Y25" s="46"/>
      <c r="Z25" s="46"/>
      <c r="AA25" s="46"/>
      <c r="AB25" s="46"/>
      <c r="AC25" s="46"/>
      <c r="AD25" s="46"/>
      <c r="AE25" s="46"/>
      <c r="AF25" s="46"/>
      <c r="AG25" s="46"/>
      <c r="AH25" s="45"/>
    </row>
    <row r="26" spans="1:34" s="22" customFormat="1" ht="15" customHeight="1" x14ac:dyDescent="0.35">
      <c r="A26" s="29" t="s">
        <v>239</v>
      </c>
      <c r="B26" s="46"/>
      <c r="C26" s="1"/>
      <c r="D26" s="1"/>
      <c r="E26" s="1"/>
      <c r="F26" s="1"/>
      <c r="G26" s="1"/>
      <c r="H26" s="1"/>
      <c r="I26" s="46"/>
      <c r="J26" s="45"/>
      <c r="K26" s="46"/>
      <c r="L26" s="57"/>
      <c r="M26" s="5"/>
      <c r="N26" s="46"/>
      <c r="O26" s="46"/>
      <c r="P26" s="46"/>
      <c r="Q26" s="46"/>
      <c r="R26" s="46"/>
      <c r="S26" s="46"/>
      <c r="T26" s="46"/>
      <c r="U26" s="46"/>
      <c r="V26" s="46"/>
      <c r="W26" s="46"/>
      <c r="X26" s="46"/>
      <c r="Y26" s="46"/>
      <c r="Z26" s="46"/>
      <c r="AA26" s="46"/>
      <c r="AB26" s="46"/>
      <c r="AC26" s="46"/>
      <c r="AD26" s="46"/>
      <c r="AE26" s="46"/>
      <c r="AF26" s="46"/>
      <c r="AG26" s="46"/>
      <c r="AH26" s="45"/>
    </row>
    <row r="27" spans="1:34" s="22" customFormat="1" ht="15" customHeight="1" x14ac:dyDescent="0.35">
      <c r="A27" s="29" t="s">
        <v>232</v>
      </c>
      <c r="B27" s="46"/>
      <c r="C27" s="1"/>
      <c r="D27" s="1"/>
      <c r="E27" s="1"/>
      <c r="F27" s="1"/>
      <c r="G27" s="1"/>
      <c r="H27" s="1"/>
      <c r="I27" s="46"/>
      <c r="J27" s="45"/>
      <c r="K27" s="46"/>
      <c r="L27" s="57"/>
      <c r="M27" s="5"/>
      <c r="N27" s="46"/>
      <c r="O27" s="46"/>
      <c r="P27" s="46"/>
      <c r="Q27" s="46"/>
      <c r="R27" s="46"/>
      <c r="S27" s="46"/>
      <c r="T27" s="46"/>
      <c r="U27" s="46"/>
      <c r="V27" s="46"/>
      <c r="W27" s="46"/>
      <c r="X27" s="46"/>
      <c r="Y27" s="46"/>
      <c r="Z27" s="46"/>
      <c r="AA27" s="46"/>
      <c r="AB27" s="46"/>
      <c r="AC27" s="46"/>
      <c r="AD27" s="46"/>
      <c r="AE27" s="46"/>
      <c r="AF27" s="46"/>
      <c r="AG27" s="46"/>
      <c r="AH27" s="45"/>
    </row>
    <row r="28" spans="1:34" s="22" customFormat="1" ht="15" customHeight="1" x14ac:dyDescent="0.35">
      <c r="A28" s="29" t="s">
        <v>240</v>
      </c>
      <c r="B28" s="46"/>
      <c r="C28" s="1"/>
      <c r="D28" s="1"/>
      <c r="E28" s="1"/>
      <c r="F28" s="1"/>
      <c r="G28" s="1"/>
      <c r="H28" s="1"/>
      <c r="I28" s="46"/>
      <c r="J28" s="45"/>
      <c r="K28" s="46"/>
      <c r="L28" s="57"/>
      <c r="M28" s="46"/>
      <c r="N28" s="46"/>
      <c r="O28" s="46"/>
      <c r="P28" s="46"/>
      <c r="Q28" s="46"/>
      <c r="R28" s="46"/>
      <c r="S28" s="46"/>
      <c r="T28" s="46"/>
      <c r="U28" s="46"/>
      <c r="V28" s="46"/>
      <c r="W28" s="46"/>
      <c r="X28" s="46"/>
      <c r="Y28" s="46"/>
      <c r="Z28" s="46"/>
      <c r="AA28" s="46"/>
      <c r="AB28" s="46"/>
      <c r="AC28" s="46"/>
      <c r="AD28" s="46"/>
      <c r="AE28" s="46"/>
      <c r="AF28" s="46"/>
      <c r="AG28" s="46"/>
      <c r="AH28" s="45"/>
    </row>
    <row r="29" spans="1:34" s="22" customFormat="1" ht="15" customHeight="1" x14ac:dyDescent="0.35">
      <c r="A29" s="29" t="s">
        <v>241</v>
      </c>
      <c r="B29" s="46"/>
      <c r="C29" s="1"/>
      <c r="D29" s="1"/>
      <c r="E29" s="1"/>
      <c r="F29" s="1"/>
      <c r="G29" s="1"/>
      <c r="H29" s="1"/>
      <c r="I29" s="46"/>
      <c r="J29" s="45"/>
      <c r="K29" s="46"/>
      <c r="L29" s="57"/>
      <c r="M29" s="46"/>
      <c r="N29" s="46"/>
      <c r="O29" s="46"/>
      <c r="P29" s="46"/>
      <c r="Q29" s="46"/>
      <c r="R29" s="46"/>
      <c r="S29" s="46"/>
      <c r="T29" s="46"/>
      <c r="U29" s="46"/>
      <c r="V29" s="46"/>
      <c r="W29" s="46"/>
      <c r="X29" s="46"/>
      <c r="Y29" s="46"/>
      <c r="Z29" s="46"/>
      <c r="AA29" s="46"/>
      <c r="AB29" s="46"/>
      <c r="AC29" s="46"/>
      <c r="AD29" s="46"/>
      <c r="AE29" s="46"/>
      <c r="AF29" s="46"/>
      <c r="AG29" s="46"/>
      <c r="AH29" s="45"/>
    </row>
    <row r="30" spans="1:34" s="22" customFormat="1" ht="15" customHeight="1" x14ac:dyDescent="0.35">
      <c r="A30" s="29" t="s">
        <v>136</v>
      </c>
      <c r="B30" s="46"/>
      <c r="C30" s="1"/>
      <c r="D30" s="1"/>
      <c r="E30" s="1"/>
      <c r="F30" s="1"/>
      <c r="G30" s="1"/>
      <c r="H30" s="1"/>
      <c r="I30" s="46"/>
      <c r="J30" s="46"/>
      <c r="K30" s="46"/>
      <c r="L30" s="46"/>
      <c r="M30" s="46"/>
      <c r="N30" s="46"/>
      <c r="O30" s="46"/>
      <c r="P30" s="46"/>
      <c r="Q30" s="46"/>
      <c r="R30" s="46"/>
      <c r="S30" s="46"/>
      <c r="T30" s="46"/>
      <c r="U30" s="46"/>
      <c r="V30" s="46"/>
      <c r="W30" s="46"/>
      <c r="X30" s="46"/>
      <c r="Y30" s="46"/>
      <c r="Z30" s="46"/>
      <c r="AA30" s="46"/>
      <c r="AB30" s="45"/>
      <c r="AC30" s="46"/>
      <c r="AD30" s="45"/>
      <c r="AE30" s="46"/>
      <c r="AF30" s="46"/>
      <c r="AG30" s="46"/>
      <c r="AH30" s="45"/>
    </row>
    <row r="31" spans="1:34" s="22" customFormat="1" ht="15" customHeight="1" x14ac:dyDescent="0.35">
      <c r="A31" s="29" t="s">
        <v>147</v>
      </c>
      <c r="B31" s="46"/>
      <c r="C31" s="1"/>
      <c r="D31" s="1"/>
      <c r="E31" s="1"/>
      <c r="F31" s="1"/>
      <c r="G31" s="1"/>
      <c r="H31" s="1"/>
      <c r="I31" s="46"/>
      <c r="J31" s="46"/>
      <c r="K31" s="46"/>
      <c r="L31" s="46"/>
      <c r="M31" s="46"/>
      <c r="N31" s="5"/>
      <c r="O31" s="46"/>
      <c r="P31" s="46"/>
      <c r="Q31" s="46"/>
      <c r="R31" s="46"/>
      <c r="S31" s="46"/>
      <c r="T31" s="46"/>
      <c r="U31" s="46"/>
      <c r="V31" s="46"/>
      <c r="W31" s="46"/>
      <c r="X31" s="46"/>
      <c r="Y31" s="46"/>
      <c r="Z31" s="46"/>
      <c r="AA31" s="46"/>
      <c r="AB31" s="45"/>
      <c r="AC31" s="46"/>
      <c r="AD31" s="45"/>
      <c r="AE31" s="46"/>
      <c r="AF31" s="46"/>
      <c r="AG31" s="46"/>
      <c r="AH31" s="45"/>
    </row>
    <row r="32" spans="1:34" s="22" customFormat="1" ht="15" customHeight="1" x14ac:dyDescent="0.35">
      <c r="A32" s="26" t="s">
        <v>242</v>
      </c>
      <c r="B32" s="46"/>
      <c r="C32" s="1"/>
      <c r="D32" s="1"/>
      <c r="E32" s="1"/>
      <c r="F32" s="1"/>
      <c r="G32" s="1"/>
      <c r="H32" s="1"/>
      <c r="I32" s="46"/>
      <c r="J32" s="46"/>
      <c r="K32" s="46"/>
      <c r="L32" s="46"/>
      <c r="M32" s="46"/>
      <c r="N32" s="5"/>
      <c r="O32" s="46"/>
      <c r="P32" s="46"/>
      <c r="Q32" s="46"/>
      <c r="R32" s="46"/>
      <c r="S32" s="46"/>
      <c r="T32" s="46"/>
      <c r="U32" s="46"/>
      <c r="V32" s="46"/>
      <c r="W32" s="46"/>
      <c r="X32" s="46"/>
      <c r="Y32" s="46"/>
      <c r="Z32" s="46"/>
      <c r="AA32" s="46"/>
      <c r="AB32" s="45"/>
      <c r="AC32" s="46"/>
      <c r="AD32" s="45"/>
      <c r="AE32" s="46"/>
      <c r="AF32" s="46"/>
      <c r="AG32" s="46"/>
      <c r="AH32" s="45"/>
    </row>
    <row r="33" spans="1:34" s="22" customFormat="1" ht="15" customHeight="1" x14ac:dyDescent="0.35">
      <c r="A33" s="99" t="s">
        <v>310</v>
      </c>
      <c r="B33" s="46"/>
      <c r="C33" s="1"/>
      <c r="D33" s="1"/>
      <c r="E33" s="1"/>
      <c r="F33" s="1"/>
      <c r="G33" s="1"/>
      <c r="H33" s="1"/>
      <c r="I33" s="46"/>
      <c r="J33" s="46"/>
      <c r="K33" s="46"/>
      <c r="L33" s="46"/>
      <c r="M33" s="46"/>
      <c r="N33" s="46"/>
      <c r="O33" s="46"/>
      <c r="P33" s="46"/>
      <c r="Q33" s="46"/>
      <c r="R33" s="46"/>
      <c r="S33" s="46"/>
      <c r="T33" s="46"/>
      <c r="U33" s="46"/>
      <c r="V33" s="46"/>
      <c r="W33" s="46"/>
      <c r="X33" s="46"/>
      <c r="Y33" s="46"/>
      <c r="Z33" s="46"/>
      <c r="AA33" s="46"/>
      <c r="AB33" s="45"/>
      <c r="AC33" s="46"/>
      <c r="AD33" s="45"/>
      <c r="AE33" s="46"/>
      <c r="AF33" s="46"/>
      <c r="AG33" s="46"/>
      <c r="AH33" s="45"/>
    </row>
    <row r="34" spans="1:34" s="22" customFormat="1" ht="15" customHeight="1" x14ac:dyDescent="0.35">
      <c r="A34" s="26" t="s">
        <v>136</v>
      </c>
      <c r="B34" s="46"/>
      <c r="C34" s="1"/>
      <c r="D34" s="1"/>
      <c r="E34" s="1"/>
      <c r="F34" s="1"/>
      <c r="G34" s="1"/>
      <c r="H34" s="1"/>
      <c r="I34" s="46"/>
      <c r="J34" s="46"/>
      <c r="K34" s="46"/>
      <c r="L34" s="46"/>
      <c r="M34" s="46"/>
      <c r="N34" s="46"/>
      <c r="O34" s="46"/>
      <c r="P34" s="46"/>
      <c r="Q34" s="46"/>
      <c r="R34" s="46"/>
      <c r="S34" s="46"/>
      <c r="T34" s="46"/>
      <c r="U34" s="46"/>
      <c r="V34" s="46"/>
      <c r="W34" s="46"/>
      <c r="X34" s="46"/>
      <c r="Y34" s="46"/>
      <c r="Z34" s="46"/>
      <c r="AA34" s="46"/>
      <c r="AB34" s="45"/>
      <c r="AC34" s="46"/>
      <c r="AD34" s="45"/>
      <c r="AE34" s="46"/>
      <c r="AF34" s="46"/>
      <c r="AG34" s="46"/>
      <c r="AH34" s="45"/>
    </row>
    <row r="35" spans="1:34" s="22" customFormat="1" ht="15" customHeight="1" x14ac:dyDescent="0.35">
      <c r="A35" s="26" t="s">
        <v>147</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5"/>
      <c r="AC35" s="46"/>
      <c r="AD35" s="45"/>
      <c r="AE35" s="46"/>
      <c r="AF35" s="46"/>
      <c r="AG35" s="46"/>
      <c r="AH35" s="45"/>
    </row>
    <row r="36" spans="1:34" x14ac:dyDescent="0.35">
      <c r="A36" s="9" t="s">
        <v>243</v>
      </c>
      <c r="B36" s="9"/>
      <c r="C36" s="46"/>
      <c r="D36" s="46"/>
      <c r="E36" s="46"/>
      <c r="F36" s="46"/>
      <c r="G36" s="46"/>
      <c r="H36" s="46"/>
      <c r="I36" s="46"/>
      <c r="J36" s="46"/>
      <c r="K36" s="46"/>
      <c r="L36" s="46"/>
      <c r="M36" s="46"/>
      <c r="N36" s="46"/>
      <c r="O36" s="46"/>
      <c r="P36" s="46"/>
      <c r="Q36" s="45"/>
      <c r="R36" s="45"/>
      <c r="S36" s="45"/>
      <c r="T36" s="45"/>
      <c r="U36" s="45"/>
      <c r="V36" s="45"/>
      <c r="W36" s="45"/>
      <c r="X36" s="45"/>
      <c r="Y36" s="45"/>
      <c r="Z36" s="45"/>
      <c r="AA36" s="45"/>
      <c r="AB36" s="45"/>
      <c r="AC36" s="45"/>
      <c r="AD36" s="45"/>
      <c r="AE36" s="45"/>
      <c r="AF36" s="45"/>
      <c r="AG36" s="45"/>
      <c r="AH36" s="45"/>
    </row>
    <row r="37" spans="1:34" x14ac:dyDescent="0.35">
      <c r="A37" s="9" t="s">
        <v>244</v>
      </c>
      <c r="B37" s="9"/>
      <c r="C37" s="46"/>
      <c r="D37" s="46"/>
      <c r="E37" s="46"/>
      <c r="F37" s="46"/>
      <c r="G37" s="46"/>
      <c r="H37" s="46"/>
      <c r="I37" s="46"/>
      <c r="J37" s="46"/>
      <c r="K37" s="46"/>
      <c r="L37" s="46"/>
      <c r="M37" s="46"/>
      <c r="N37" s="46"/>
      <c r="O37" s="46"/>
      <c r="P37" s="46"/>
      <c r="Q37" s="45"/>
      <c r="R37" s="45"/>
      <c r="S37" s="45"/>
      <c r="T37" s="45"/>
      <c r="U37" s="45"/>
      <c r="V37" s="45"/>
      <c r="W37" s="45"/>
      <c r="X37" s="45"/>
      <c r="Y37" s="45"/>
      <c r="Z37" s="45"/>
      <c r="AA37" s="45"/>
      <c r="AB37" s="45"/>
      <c r="AC37" s="45"/>
      <c r="AD37" s="45"/>
      <c r="AE37" s="45"/>
      <c r="AF37" s="45"/>
      <c r="AG37" s="45"/>
      <c r="AH37" s="45"/>
    </row>
    <row r="38" spans="1:34" x14ac:dyDescent="0.35">
      <c r="A38" s="9">
        <f>SUMIF(D118:D122,"&gt;=50")</f>
        <v>200</v>
      </c>
      <c r="B38" s="9"/>
      <c r="C38" s="46"/>
      <c r="D38" s="46"/>
      <c r="E38" s="46"/>
      <c r="F38" s="46"/>
      <c r="G38" s="46"/>
      <c r="H38" s="46"/>
      <c r="I38" s="46"/>
      <c r="J38" s="46"/>
      <c r="K38" s="46"/>
      <c r="L38" s="46"/>
      <c r="M38" s="46"/>
      <c r="N38" s="46"/>
      <c r="O38" s="46"/>
      <c r="P38" s="46"/>
      <c r="Q38" s="45"/>
      <c r="R38" s="45"/>
      <c r="S38" s="45"/>
      <c r="T38" s="45"/>
      <c r="U38" s="45"/>
      <c r="V38" s="45"/>
      <c r="W38" s="45"/>
      <c r="X38" s="45"/>
      <c r="Y38" s="45"/>
      <c r="Z38" s="45"/>
      <c r="AA38" s="45"/>
      <c r="AB38" s="45"/>
      <c r="AC38" s="45"/>
      <c r="AD38" s="45"/>
      <c r="AE38" s="45"/>
      <c r="AF38" s="45"/>
      <c r="AG38" s="45"/>
      <c r="AH38" s="45"/>
    </row>
    <row r="39" spans="1:34" x14ac:dyDescent="0.35">
      <c r="A39" s="9" t="s">
        <v>245</v>
      </c>
      <c r="B39" s="9"/>
      <c r="C39" s="46"/>
      <c r="D39" s="46"/>
      <c r="E39" s="46"/>
      <c r="F39" s="46"/>
      <c r="G39" s="46"/>
      <c r="H39" s="46"/>
      <c r="I39" s="46"/>
      <c r="J39" s="46"/>
      <c r="K39" s="46"/>
      <c r="L39" s="46"/>
      <c r="M39" s="46"/>
      <c r="N39" s="46"/>
      <c r="O39" s="46"/>
      <c r="P39" s="46"/>
      <c r="Q39" s="45"/>
      <c r="R39" s="45"/>
      <c r="S39" s="45"/>
      <c r="T39" s="45"/>
      <c r="U39" s="45"/>
      <c r="V39" s="45"/>
      <c r="W39" s="45"/>
      <c r="X39" s="45"/>
      <c r="Y39" s="45"/>
      <c r="Z39" s="45"/>
      <c r="AA39" s="45"/>
      <c r="AB39" s="45"/>
      <c r="AC39" s="45"/>
      <c r="AD39" s="45"/>
      <c r="AE39" s="45"/>
      <c r="AF39" s="45"/>
      <c r="AG39" s="45"/>
      <c r="AH39" s="45"/>
    </row>
    <row r="40" spans="1:34" x14ac:dyDescent="0.35">
      <c r="A40" s="9" t="s">
        <v>246</v>
      </c>
      <c r="B40" s="9"/>
      <c r="C40" s="46"/>
      <c r="D40" s="46"/>
      <c r="E40" s="46"/>
      <c r="F40" s="46"/>
      <c r="G40" s="46"/>
      <c r="H40" s="46"/>
      <c r="I40" s="46"/>
      <c r="J40" s="46"/>
      <c r="K40" s="46"/>
      <c r="L40" s="46"/>
      <c r="M40" s="46"/>
      <c r="N40" s="46"/>
      <c r="O40" s="46"/>
      <c r="P40" s="46"/>
      <c r="Q40" s="45"/>
      <c r="R40" s="45"/>
      <c r="S40" s="45"/>
      <c r="T40" s="45"/>
      <c r="U40" s="45"/>
      <c r="V40" s="45"/>
      <c r="W40" s="45"/>
      <c r="X40" s="45"/>
      <c r="Y40" s="45"/>
      <c r="Z40" s="45"/>
      <c r="AA40" s="45"/>
      <c r="AB40" s="45"/>
      <c r="AC40" s="45"/>
      <c r="AD40" s="45"/>
      <c r="AE40" s="45"/>
      <c r="AF40" s="45"/>
      <c r="AG40" s="45"/>
      <c r="AH40" s="45"/>
    </row>
    <row r="41" spans="1:34" x14ac:dyDescent="0.35">
      <c r="A41" s="9" t="s">
        <v>247</v>
      </c>
      <c r="B41" s="9"/>
      <c r="C41" s="46"/>
      <c r="D41" s="46"/>
      <c r="E41" s="46"/>
      <c r="F41" s="46"/>
      <c r="G41" s="46"/>
      <c r="H41" s="46"/>
      <c r="I41" s="46"/>
      <c r="J41" s="46"/>
      <c r="K41" s="46"/>
      <c r="L41" s="46"/>
      <c r="M41" s="46"/>
      <c r="N41" s="46"/>
      <c r="O41" s="46"/>
      <c r="P41" s="46"/>
      <c r="Q41" s="45"/>
      <c r="R41" s="45"/>
      <c r="S41" s="45"/>
      <c r="T41" s="45"/>
      <c r="U41" s="45"/>
      <c r="V41" s="45"/>
      <c r="W41" s="45"/>
      <c r="X41" s="45"/>
      <c r="Y41" s="45"/>
      <c r="Z41" s="45"/>
      <c r="AA41" s="45"/>
      <c r="AB41" s="45"/>
      <c r="AC41" s="45"/>
      <c r="AD41" s="45"/>
      <c r="AE41" s="45"/>
      <c r="AF41" s="45"/>
      <c r="AG41" s="45"/>
      <c r="AH41" s="45"/>
    </row>
    <row r="42" spans="1:34" x14ac:dyDescent="0.35">
      <c r="A42" s="9" t="s">
        <v>248</v>
      </c>
      <c r="B42" s="9"/>
      <c r="C42" s="46"/>
      <c r="D42" s="46"/>
      <c r="E42" s="46"/>
      <c r="F42" s="46"/>
      <c r="G42" s="46"/>
      <c r="H42" s="46"/>
      <c r="I42" s="46"/>
      <c r="J42" s="46"/>
      <c r="K42" s="46"/>
      <c r="L42" s="46"/>
      <c r="M42" s="46"/>
      <c r="N42" s="46"/>
      <c r="O42" s="46"/>
      <c r="P42" s="46"/>
      <c r="Q42" s="45"/>
      <c r="R42" s="45"/>
      <c r="S42" s="45"/>
      <c r="T42" s="45"/>
      <c r="U42" s="45"/>
      <c r="V42" s="45"/>
      <c r="W42" s="45"/>
      <c r="X42" s="45"/>
      <c r="Y42" s="45"/>
      <c r="Z42" s="45"/>
      <c r="AA42" s="45"/>
      <c r="AB42" s="45"/>
      <c r="AC42" s="45"/>
      <c r="AD42" s="45"/>
      <c r="AE42" s="45"/>
      <c r="AF42" s="45"/>
      <c r="AG42" s="45"/>
      <c r="AH42" s="45"/>
    </row>
    <row r="43" spans="1:34" x14ac:dyDescent="0.35">
      <c r="A43" s="9" t="s">
        <v>30</v>
      </c>
      <c r="B43" s="9"/>
      <c r="C43" s="46"/>
      <c r="D43" s="46"/>
      <c r="E43" s="46"/>
      <c r="F43" s="46"/>
      <c r="G43" s="46"/>
      <c r="H43" s="46"/>
      <c r="I43" s="46"/>
      <c r="J43" s="46"/>
      <c r="K43" s="46"/>
      <c r="L43" s="46"/>
      <c r="M43" s="46"/>
      <c r="N43" s="46"/>
      <c r="O43" s="46"/>
      <c r="P43" s="46"/>
      <c r="Q43" s="45"/>
      <c r="R43" s="45"/>
      <c r="S43" s="45"/>
      <c r="T43" s="45"/>
      <c r="U43" s="45"/>
      <c r="V43" s="45"/>
      <c r="W43" s="45"/>
      <c r="X43" s="45"/>
      <c r="Y43" s="45"/>
      <c r="Z43" s="45"/>
      <c r="AA43" s="45"/>
      <c r="AB43" s="45"/>
      <c r="AC43" s="45"/>
      <c r="AD43" s="45"/>
      <c r="AE43" s="45"/>
      <c r="AF43" s="45"/>
      <c r="AG43" s="45"/>
      <c r="AH43" s="45"/>
    </row>
    <row r="44" spans="1:34" x14ac:dyDescent="0.35">
      <c r="A44" s="9" t="s">
        <v>31</v>
      </c>
      <c r="B44" s="9"/>
      <c r="C44" s="46"/>
      <c r="D44" s="46"/>
      <c r="E44" s="46"/>
      <c r="F44" s="46"/>
      <c r="G44" s="46"/>
      <c r="H44" s="46"/>
      <c r="I44" s="46"/>
      <c r="J44" s="46"/>
      <c r="K44" s="46"/>
      <c r="L44" s="46"/>
      <c r="M44" s="46"/>
      <c r="N44" s="46"/>
      <c r="O44" s="46"/>
      <c r="P44" s="46"/>
      <c r="Q44" s="45"/>
      <c r="R44" s="45"/>
      <c r="S44" s="45"/>
      <c r="T44" s="45"/>
      <c r="U44" s="45"/>
      <c r="V44" s="45"/>
      <c r="W44" s="45"/>
      <c r="X44" s="45"/>
      <c r="Y44" s="45"/>
      <c r="Z44" s="45"/>
      <c r="AA44" s="45"/>
      <c r="AB44" s="45"/>
      <c r="AC44" s="45"/>
      <c r="AD44" s="45"/>
      <c r="AE44" s="45"/>
      <c r="AF44" s="45"/>
      <c r="AG44" s="45"/>
      <c r="AH44" s="45"/>
    </row>
    <row r="45" spans="1:34" x14ac:dyDescent="0.35">
      <c r="A45" s="9" t="s">
        <v>249</v>
      </c>
      <c r="B45" s="9"/>
      <c r="C45" s="46"/>
      <c r="D45" s="46"/>
      <c r="E45" s="46"/>
      <c r="F45" s="46"/>
      <c r="G45" s="46"/>
      <c r="H45" s="46"/>
      <c r="I45" s="46"/>
      <c r="J45" s="46"/>
      <c r="K45" s="46"/>
      <c r="L45" s="46"/>
      <c r="M45" s="46"/>
      <c r="N45" s="46"/>
      <c r="O45" s="46"/>
      <c r="P45" s="46"/>
      <c r="Q45" s="45"/>
      <c r="R45" s="45"/>
      <c r="S45" s="45"/>
      <c r="T45" s="45"/>
      <c r="U45" s="45"/>
      <c r="V45" s="45"/>
      <c r="W45" s="45"/>
      <c r="X45" s="45"/>
      <c r="Y45" s="45"/>
      <c r="Z45" s="45"/>
      <c r="AA45" s="45"/>
      <c r="AB45" s="45"/>
      <c r="AC45" s="45"/>
      <c r="AD45" s="45"/>
      <c r="AE45" s="45"/>
      <c r="AF45" s="45"/>
      <c r="AG45" s="45"/>
      <c r="AH45" s="45"/>
    </row>
    <row r="46" spans="1:34" x14ac:dyDescent="0.35">
      <c r="A46" s="9" t="s">
        <v>250</v>
      </c>
      <c r="B46" s="9"/>
      <c r="C46" s="46"/>
      <c r="D46" s="46"/>
      <c r="E46" s="46"/>
      <c r="F46" s="46"/>
      <c r="G46" s="46"/>
      <c r="H46" s="46"/>
      <c r="I46" s="46"/>
      <c r="J46" s="46"/>
      <c r="K46" s="46"/>
      <c r="L46" s="46"/>
      <c r="M46" s="46"/>
      <c r="N46" s="46"/>
      <c r="O46" s="46"/>
      <c r="P46" s="46"/>
      <c r="Q46" s="45"/>
      <c r="R46" s="45"/>
      <c r="S46" s="45"/>
      <c r="T46" s="45"/>
      <c r="U46" s="45"/>
      <c r="V46" s="45"/>
      <c r="W46" s="45"/>
      <c r="X46" s="45"/>
      <c r="Y46" s="45"/>
      <c r="Z46" s="45"/>
      <c r="AA46" s="45"/>
      <c r="AB46" s="45"/>
      <c r="AC46" s="45"/>
      <c r="AD46" s="45"/>
      <c r="AE46" s="45"/>
      <c r="AF46" s="45"/>
      <c r="AG46" s="45"/>
      <c r="AH46" s="45"/>
    </row>
    <row r="47" spans="1:34" x14ac:dyDescent="0.35">
      <c r="A47" s="9" t="s">
        <v>251</v>
      </c>
      <c r="B47" s="9"/>
      <c r="C47" s="46"/>
      <c r="D47" s="46"/>
      <c r="E47" s="46"/>
      <c r="F47" s="46"/>
      <c r="G47" s="46"/>
      <c r="H47" s="46"/>
      <c r="I47" s="46"/>
      <c r="J47" s="46"/>
      <c r="K47" s="46"/>
      <c r="L47" s="46"/>
      <c r="M47" s="46"/>
      <c r="N47" s="46"/>
      <c r="O47" s="46"/>
      <c r="P47" s="46"/>
      <c r="Q47" s="45"/>
      <c r="R47" s="45"/>
      <c r="S47" s="45"/>
      <c r="T47" s="45"/>
      <c r="U47" s="45"/>
      <c r="V47" s="45"/>
      <c r="W47" s="45"/>
      <c r="X47" s="45"/>
      <c r="Y47" s="45"/>
      <c r="Z47" s="45"/>
      <c r="AA47" s="45"/>
      <c r="AB47" s="45"/>
      <c r="AC47" s="45"/>
      <c r="AD47" s="45"/>
      <c r="AE47" s="45"/>
      <c r="AF47" s="45"/>
      <c r="AG47" s="45"/>
      <c r="AH47" s="45"/>
    </row>
    <row r="48" spans="1:34" x14ac:dyDescent="0.35">
      <c r="A48" s="9" t="s">
        <v>252</v>
      </c>
      <c r="B48" s="9"/>
      <c r="C48" s="46"/>
      <c r="D48" s="46"/>
      <c r="E48" s="46"/>
      <c r="F48" s="46"/>
      <c r="G48" s="46"/>
      <c r="H48" s="46"/>
      <c r="I48" s="46"/>
      <c r="J48" s="46"/>
      <c r="K48" s="46"/>
      <c r="L48" s="46"/>
      <c r="M48" s="46"/>
      <c r="N48" s="46"/>
      <c r="O48" s="46"/>
      <c r="P48" s="46"/>
      <c r="Q48" s="45"/>
      <c r="R48" s="45"/>
      <c r="S48" s="45"/>
      <c r="T48" s="45"/>
      <c r="U48" s="45"/>
      <c r="V48" s="45"/>
      <c r="W48" s="45"/>
      <c r="X48" s="45"/>
      <c r="Y48" s="45"/>
      <c r="Z48" s="45"/>
      <c r="AA48" s="45"/>
      <c r="AB48" s="45"/>
      <c r="AC48" s="45"/>
      <c r="AD48" s="45"/>
      <c r="AE48" s="45"/>
      <c r="AF48" s="45"/>
      <c r="AG48" s="45"/>
      <c r="AH48" s="45"/>
    </row>
    <row r="49" spans="1:34" x14ac:dyDescent="0.35">
      <c r="A49" s="9" t="s">
        <v>253</v>
      </c>
      <c r="B49" s="9"/>
      <c r="C49" s="7" t="s">
        <v>1</v>
      </c>
      <c r="D49" s="8" t="s">
        <v>2</v>
      </c>
      <c r="E49" s="47"/>
      <c r="F49" s="7" t="s">
        <v>1</v>
      </c>
      <c r="G49" s="7" t="s">
        <v>44</v>
      </c>
      <c r="H49" s="8" t="s">
        <v>2</v>
      </c>
      <c r="I49" s="46"/>
      <c r="J49" s="46"/>
      <c r="K49" s="46"/>
      <c r="L49" s="46"/>
      <c r="M49" s="46"/>
      <c r="N49" s="46"/>
      <c r="O49" s="46"/>
      <c r="P49" s="46"/>
      <c r="Q49" s="45"/>
      <c r="R49" s="45"/>
      <c r="S49" s="45"/>
      <c r="T49" s="45"/>
      <c r="U49" s="45"/>
      <c r="V49" s="45"/>
      <c r="W49" s="45"/>
      <c r="X49" s="45"/>
      <c r="Y49" s="45"/>
      <c r="Z49" s="45"/>
      <c r="AA49" s="45"/>
      <c r="AB49" s="45"/>
      <c r="AC49" s="45"/>
      <c r="AD49" s="45"/>
      <c r="AE49" s="45"/>
      <c r="AF49" s="45"/>
      <c r="AG49" s="45"/>
      <c r="AH49" s="45"/>
    </row>
    <row r="50" spans="1:34" x14ac:dyDescent="0.35">
      <c r="A50" s="9" t="s">
        <v>254</v>
      </c>
      <c r="B50" s="9"/>
      <c r="C50" s="48" t="s">
        <v>4</v>
      </c>
      <c r="D50" s="49">
        <v>50</v>
      </c>
      <c r="E50" s="47"/>
      <c r="F50" s="48" t="s">
        <v>4</v>
      </c>
      <c r="G50" s="48" t="s">
        <v>45</v>
      </c>
      <c r="H50" s="49">
        <v>50</v>
      </c>
      <c r="I50" s="46"/>
      <c r="J50" s="46"/>
      <c r="K50" s="46"/>
      <c r="L50" s="46"/>
      <c r="M50" s="46"/>
      <c r="N50" s="46"/>
      <c r="O50" s="46"/>
      <c r="P50" s="46"/>
      <c r="Q50" s="45"/>
      <c r="R50" s="45"/>
      <c r="S50" s="45"/>
      <c r="T50" s="45"/>
      <c r="U50" s="45"/>
      <c r="V50" s="45"/>
      <c r="W50" s="45"/>
      <c r="X50" s="45"/>
      <c r="Y50" s="45"/>
      <c r="Z50" s="45"/>
      <c r="AA50" s="45"/>
      <c r="AB50" s="45"/>
      <c r="AC50" s="45"/>
      <c r="AD50" s="45"/>
      <c r="AE50" s="45"/>
      <c r="AF50" s="45"/>
      <c r="AG50" s="45"/>
      <c r="AH50" s="45"/>
    </row>
    <row r="51" spans="1:34" x14ac:dyDescent="0.35">
      <c r="A51" s="9" t="s">
        <v>255</v>
      </c>
      <c r="B51" s="9"/>
      <c r="C51" s="48" t="s">
        <v>6</v>
      </c>
      <c r="D51" s="49">
        <v>20</v>
      </c>
      <c r="E51" s="47"/>
      <c r="F51" s="48" t="s">
        <v>6</v>
      </c>
      <c r="G51" s="48" t="s">
        <v>46</v>
      </c>
      <c r="H51" s="49">
        <v>20</v>
      </c>
      <c r="I51" s="46"/>
      <c r="J51" s="46"/>
      <c r="K51" s="46"/>
      <c r="L51" s="46"/>
      <c r="M51" s="46"/>
      <c r="N51" s="46"/>
      <c r="O51" s="46"/>
      <c r="P51" s="46"/>
      <c r="Q51" s="45"/>
      <c r="R51" s="45"/>
      <c r="S51" s="45"/>
      <c r="T51" s="45"/>
      <c r="U51" s="45"/>
      <c r="V51" s="45"/>
      <c r="W51" s="45"/>
      <c r="X51" s="45"/>
      <c r="Y51" s="45"/>
      <c r="Z51" s="45"/>
      <c r="AA51" s="45"/>
      <c r="AB51" s="45"/>
      <c r="AC51" s="45"/>
      <c r="AD51" s="45"/>
      <c r="AE51" s="45"/>
      <c r="AF51" s="45"/>
      <c r="AG51" s="45"/>
      <c r="AH51" s="45"/>
    </row>
    <row r="52" spans="1:34" x14ac:dyDescent="0.35">
      <c r="A52" s="9" t="s">
        <v>256</v>
      </c>
      <c r="B52" s="9"/>
      <c r="C52" s="48" t="s">
        <v>8</v>
      </c>
      <c r="D52" s="49">
        <v>60</v>
      </c>
      <c r="E52" s="47"/>
      <c r="F52" s="48" t="s">
        <v>8</v>
      </c>
      <c r="G52" s="48" t="s">
        <v>47</v>
      </c>
      <c r="H52" s="49">
        <v>60</v>
      </c>
      <c r="I52" s="46"/>
      <c r="J52" s="46"/>
      <c r="K52" s="46"/>
      <c r="L52" s="46"/>
      <c r="M52" s="46"/>
      <c r="N52" s="46"/>
      <c r="O52" s="46"/>
      <c r="P52" s="46"/>
      <c r="Q52" s="45"/>
      <c r="R52" s="45"/>
      <c r="S52" s="45"/>
      <c r="T52" s="45"/>
      <c r="U52" s="45"/>
      <c r="V52" s="45"/>
      <c r="W52" s="45"/>
      <c r="X52" s="45"/>
      <c r="Y52" s="45"/>
      <c r="Z52" s="45"/>
      <c r="AA52" s="45"/>
      <c r="AB52" s="45"/>
      <c r="AC52" s="45"/>
      <c r="AD52" s="45"/>
      <c r="AE52" s="45"/>
      <c r="AF52" s="45"/>
      <c r="AG52" s="45"/>
      <c r="AH52" s="45"/>
    </row>
    <row r="53" spans="1:34" x14ac:dyDescent="0.35">
      <c r="A53" s="9" t="s">
        <v>33</v>
      </c>
      <c r="B53" s="9"/>
      <c r="C53" s="48" t="s">
        <v>10</v>
      </c>
      <c r="D53" s="49">
        <v>40</v>
      </c>
      <c r="E53" s="47"/>
      <c r="F53" s="48" t="s">
        <v>10</v>
      </c>
      <c r="G53" s="48" t="s">
        <v>48</v>
      </c>
      <c r="H53" s="49">
        <v>40</v>
      </c>
      <c r="I53" s="46"/>
      <c r="J53" s="46"/>
      <c r="K53" s="46"/>
      <c r="L53" s="46"/>
      <c r="M53" s="46"/>
      <c r="N53" s="46"/>
      <c r="O53" s="46"/>
      <c r="P53" s="46"/>
      <c r="Q53" s="45"/>
      <c r="R53" s="45"/>
      <c r="S53" s="45"/>
      <c r="T53" s="45"/>
      <c r="U53" s="45"/>
      <c r="V53" s="45"/>
      <c r="W53" s="45"/>
      <c r="X53" s="45"/>
      <c r="Y53" s="45"/>
      <c r="Z53" s="45"/>
      <c r="AA53" s="45"/>
      <c r="AB53" s="45"/>
      <c r="AC53" s="45"/>
      <c r="AD53" s="45"/>
      <c r="AE53" s="45"/>
      <c r="AF53" s="45"/>
      <c r="AG53" s="45"/>
      <c r="AH53" s="45"/>
    </row>
    <row r="54" spans="1:34" x14ac:dyDescent="0.35">
      <c r="A54" s="9" t="s">
        <v>165</v>
      </c>
      <c r="B54" s="9"/>
      <c r="C54" s="48" t="s">
        <v>4</v>
      </c>
      <c r="D54" s="49">
        <v>50</v>
      </c>
      <c r="E54" s="47"/>
      <c r="F54" s="48" t="s">
        <v>4</v>
      </c>
      <c r="G54" s="48" t="s">
        <v>49</v>
      </c>
      <c r="H54" s="49">
        <v>50</v>
      </c>
      <c r="I54" s="46"/>
      <c r="J54" s="46"/>
      <c r="K54" s="46"/>
      <c r="L54" s="46"/>
      <c r="M54" s="46"/>
      <c r="N54" s="46"/>
      <c r="O54" s="46"/>
      <c r="P54" s="46"/>
      <c r="Q54" s="45"/>
      <c r="R54" s="45"/>
      <c r="S54" s="45"/>
      <c r="T54" s="45"/>
      <c r="U54" s="45"/>
      <c r="V54" s="45"/>
      <c r="W54" s="45"/>
      <c r="X54" s="45"/>
      <c r="Y54" s="45"/>
      <c r="Z54" s="45"/>
      <c r="AA54" s="45"/>
      <c r="AB54" s="45"/>
      <c r="AC54" s="45"/>
      <c r="AD54" s="45"/>
      <c r="AE54" s="45"/>
      <c r="AF54" s="45"/>
      <c r="AG54" s="45"/>
      <c r="AH54" s="45"/>
    </row>
    <row r="55" spans="1:34" x14ac:dyDescent="0.35">
      <c r="A55" s="9" t="s">
        <v>147</v>
      </c>
      <c r="B55" s="9"/>
      <c r="C55" s="48" t="s">
        <v>6</v>
      </c>
      <c r="D55" s="49">
        <v>20</v>
      </c>
      <c r="E55" s="47"/>
      <c r="F55" s="48" t="s">
        <v>6</v>
      </c>
      <c r="G55" s="48" t="s">
        <v>50</v>
      </c>
      <c r="H55" s="49">
        <v>20</v>
      </c>
      <c r="I55" s="46"/>
      <c r="J55" s="46"/>
      <c r="K55" s="46"/>
      <c r="L55" s="46"/>
      <c r="M55" s="46"/>
      <c r="N55" s="46"/>
      <c r="O55" s="46"/>
      <c r="P55" s="46"/>
      <c r="Q55" s="45"/>
      <c r="R55" s="45"/>
      <c r="S55" s="45"/>
      <c r="T55" s="45"/>
      <c r="U55" s="45"/>
      <c r="V55" s="45"/>
      <c r="W55" s="45"/>
      <c r="X55" s="45"/>
      <c r="Y55" s="45"/>
      <c r="Z55" s="45"/>
      <c r="AA55" s="45"/>
      <c r="AB55" s="45"/>
      <c r="AC55" s="45"/>
      <c r="AD55" s="45"/>
      <c r="AE55" s="45"/>
      <c r="AF55" s="45"/>
      <c r="AG55" s="45"/>
      <c r="AH55" s="45"/>
    </row>
    <row r="56" spans="1:34" x14ac:dyDescent="0.35">
      <c r="B56" s="9"/>
      <c r="C56" s="48" t="s">
        <v>8</v>
      </c>
      <c r="D56" s="49">
        <v>60</v>
      </c>
      <c r="E56" s="47"/>
      <c r="F56" s="48" t="s">
        <v>8</v>
      </c>
      <c r="G56" s="48" t="s">
        <v>51</v>
      </c>
      <c r="H56" s="49">
        <v>60</v>
      </c>
      <c r="I56" s="46"/>
      <c r="J56" s="46"/>
      <c r="K56" s="46"/>
      <c r="L56" s="46"/>
      <c r="M56" s="46"/>
      <c r="N56" s="46"/>
      <c r="O56" s="46"/>
      <c r="P56" s="46"/>
      <c r="Q56" s="45"/>
      <c r="R56" s="45"/>
      <c r="S56" s="45"/>
      <c r="T56" s="45"/>
      <c r="U56" s="45"/>
      <c r="V56" s="45"/>
      <c r="W56" s="45"/>
      <c r="X56" s="45"/>
      <c r="Y56" s="45"/>
      <c r="Z56" s="45"/>
      <c r="AA56" s="45"/>
      <c r="AB56" s="45"/>
      <c r="AC56" s="45"/>
      <c r="AD56" s="45"/>
      <c r="AE56" s="45"/>
      <c r="AF56" s="45"/>
      <c r="AG56" s="45"/>
      <c r="AH56" s="45"/>
    </row>
    <row r="57" spans="1:34" x14ac:dyDescent="0.35">
      <c r="B57" s="9"/>
      <c r="C57" s="48" t="s">
        <v>10</v>
      </c>
      <c r="D57" s="49">
        <v>40</v>
      </c>
      <c r="E57" s="47"/>
      <c r="F57" s="48" t="s">
        <v>10</v>
      </c>
      <c r="G57" s="48" t="s">
        <v>52</v>
      </c>
      <c r="H57" s="49">
        <v>40</v>
      </c>
      <c r="I57" s="46"/>
      <c r="J57" s="46"/>
      <c r="K57" s="46"/>
      <c r="L57" s="46"/>
      <c r="M57" s="46"/>
      <c r="N57" s="46"/>
      <c r="O57" s="46"/>
      <c r="P57" s="46"/>
      <c r="Q57" s="45"/>
      <c r="R57" s="45"/>
      <c r="S57" s="45"/>
      <c r="T57" s="45"/>
      <c r="U57" s="45"/>
      <c r="V57" s="45"/>
      <c r="W57" s="45"/>
      <c r="X57" s="45"/>
      <c r="Y57" s="45"/>
      <c r="Z57" s="45"/>
      <c r="AA57" s="45"/>
      <c r="AB57" s="45"/>
      <c r="AC57" s="45"/>
      <c r="AD57" s="45"/>
      <c r="AE57" s="45"/>
      <c r="AF57" s="45"/>
      <c r="AG57" s="45"/>
      <c r="AH57" s="45"/>
    </row>
    <row r="58" spans="1:34" x14ac:dyDescent="0.35">
      <c r="B58" s="9"/>
      <c r="C58" s="48" t="s">
        <v>4</v>
      </c>
      <c r="D58" s="49">
        <v>50</v>
      </c>
      <c r="E58" s="47"/>
      <c r="F58" s="48" t="s">
        <v>4</v>
      </c>
      <c r="G58" s="48" t="s">
        <v>49</v>
      </c>
      <c r="H58" s="49">
        <v>50</v>
      </c>
      <c r="I58" s="46"/>
      <c r="J58" s="46"/>
      <c r="K58" s="46"/>
      <c r="L58" s="46"/>
      <c r="M58" s="46"/>
      <c r="N58" s="46"/>
      <c r="O58" s="46"/>
      <c r="P58" s="46"/>
      <c r="Q58" s="45"/>
      <c r="R58" s="45"/>
      <c r="S58" s="45"/>
      <c r="T58" s="45"/>
      <c r="U58" s="45"/>
      <c r="V58" s="45"/>
      <c r="W58" s="45"/>
      <c r="X58" s="45"/>
      <c r="Y58" s="45"/>
      <c r="Z58" s="45"/>
      <c r="AA58" s="45"/>
      <c r="AB58" s="45"/>
      <c r="AC58" s="45"/>
      <c r="AD58" s="45"/>
      <c r="AE58" s="45"/>
      <c r="AF58" s="45"/>
      <c r="AG58" s="45"/>
      <c r="AH58" s="45"/>
    </row>
    <row r="59" spans="1:34" x14ac:dyDescent="0.35">
      <c r="B59" s="9"/>
      <c r="C59" s="48" t="s">
        <v>6</v>
      </c>
      <c r="D59" s="49">
        <v>20</v>
      </c>
      <c r="E59" s="47"/>
      <c r="F59" s="48" t="s">
        <v>6</v>
      </c>
      <c r="G59" s="48" t="s">
        <v>50</v>
      </c>
      <c r="H59" s="49">
        <v>20</v>
      </c>
      <c r="I59" s="46"/>
      <c r="J59" s="46"/>
      <c r="K59" s="46"/>
      <c r="L59" s="46"/>
      <c r="M59" s="46"/>
      <c r="N59" s="46"/>
      <c r="O59" s="46"/>
      <c r="P59" s="46"/>
      <c r="Q59" s="45"/>
      <c r="R59" s="45"/>
      <c r="S59" s="45"/>
      <c r="T59" s="45"/>
      <c r="U59" s="45"/>
      <c r="V59" s="45"/>
      <c r="W59" s="45"/>
      <c r="X59" s="45"/>
      <c r="Y59" s="45"/>
      <c r="Z59" s="45"/>
      <c r="AA59" s="45"/>
      <c r="AB59" s="45"/>
      <c r="AC59" s="45"/>
      <c r="AD59" s="45"/>
      <c r="AE59" s="45"/>
      <c r="AF59" s="45"/>
      <c r="AG59" s="45"/>
      <c r="AH59" s="45"/>
    </row>
    <row r="60" spans="1:34" x14ac:dyDescent="0.35">
      <c r="B60" s="9"/>
      <c r="C60" s="48" t="s">
        <v>8</v>
      </c>
      <c r="D60" s="49">
        <v>60</v>
      </c>
      <c r="E60" s="47"/>
      <c r="F60" s="48" t="s">
        <v>8</v>
      </c>
      <c r="G60" s="48" t="s">
        <v>47</v>
      </c>
      <c r="H60" s="49">
        <v>60</v>
      </c>
      <c r="I60" s="46"/>
      <c r="J60" s="46"/>
      <c r="K60" s="46"/>
      <c r="L60" s="46"/>
      <c r="M60" s="46"/>
      <c r="N60" s="46"/>
      <c r="O60" s="46"/>
      <c r="P60" s="46"/>
      <c r="Q60" s="45"/>
      <c r="R60" s="45"/>
      <c r="S60" s="45"/>
      <c r="T60" s="45"/>
      <c r="U60" s="45"/>
      <c r="V60" s="45"/>
      <c r="W60" s="45"/>
      <c r="X60" s="45"/>
      <c r="Y60" s="45"/>
      <c r="Z60" s="45"/>
      <c r="AA60" s="45"/>
      <c r="AB60" s="45"/>
      <c r="AC60" s="45"/>
      <c r="AD60" s="45"/>
      <c r="AE60" s="45"/>
      <c r="AF60" s="45"/>
      <c r="AG60" s="45"/>
      <c r="AH60" s="45"/>
    </row>
    <row r="61" spans="1:34" x14ac:dyDescent="0.35">
      <c r="B61" s="9"/>
      <c r="C61" s="48" t="s">
        <v>10</v>
      </c>
      <c r="D61" s="49">
        <v>40</v>
      </c>
      <c r="E61" s="47"/>
      <c r="F61" s="48" t="s">
        <v>10</v>
      </c>
      <c r="G61" s="48" t="s">
        <v>52</v>
      </c>
      <c r="H61" s="49">
        <v>40</v>
      </c>
      <c r="I61" s="46"/>
      <c r="J61" s="46"/>
      <c r="K61" s="46"/>
      <c r="L61" s="46"/>
      <c r="M61" s="46"/>
      <c r="N61" s="46"/>
      <c r="O61" s="46"/>
      <c r="P61" s="46"/>
      <c r="Q61" s="45"/>
      <c r="R61" s="45"/>
      <c r="S61" s="45"/>
      <c r="T61" s="45"/>
      <c r="U61" s="45"/>
      <c r="V61" s="45"/>
      <c r="W61" s="45"/>
      <c r="X61" s="45"/>
      <c r="Y61" s="45"/>
      <c r="Z61" s="45"/>
      <c r="AA61" s="45"/>
      <c r="AB61" s="45"/>
      <c r="AC61" s="45"/>
      <c r="AD61" s="45"/>
      <c r="AE61" s="45"/>
      <c r="AF61" s="45"/>
      <c r="AG61" s="45"/>
      <c r="AH61" s="45"/>
    </row>
    <row r="62" spans="1:34" x14ac:dyDescent="0.35">
      <c r="B62" s="9"/>
      <c r="C62" s="23"/>
      <c r="D62" s="23"/>
      <c r="E62" s="23"/>
      <c r="F62" s="23"/>
      <c r="G62" s="23"/>
      <c r="H62" s="23"/>
      <c r="I62" s="46"/>
      <c r="J62" s="46"/>
      <c r="K62" s="46"/>
      <c r="L62" s="46"/>
      <c r="M62" s="46"/>
      <c r="N62" s="46"/>
      <c r="O62" s="46"/>
      <c r="P62" s="46"/>
      <c r="Q62" s="45"/>
      <c r="R62" s="45"/>
      <c r="S62" s="45"/>
      <c r="T62" s="45"/>
      <c r="U62" s="45"/>
      <c r="V62" s="45"/>
      <c r="W62" s="45"/>
      <c r="X62" s="45"/>
      <c r="Y62" s="45"/>
      <c r="Z62" s="45"/>
      <c r="AA62" s="45"/>
      <c r="AB62" s="45"/>
      <c r="AC62" s="45"/>
      <c r="AD62" s="45"/>
      <c r="AE62" s="45"/>
      <c r="AF62" s="45"/>
      <c r="AG62" s="45"/>
      <c r="AH62" s="45"/>
    </row>
    <row r="63" spans="1:34" ht="15" thickBot="1" x14ac:dyDescent="0.4">
      <c r="B63" s="9"/>
      <c r="C63" s="46" t="s">
        <v>1</v>
      </c>
      <c r="D63" s="25" t="s">
        <v>83</v>
      </c>
      <c r="E63" s="47"/>
      <c r="F63" s="46" t="s">
        <v>1</v>
      </c>
      <c r="G63" s="46" t="s">
        <v>44</v>
      </c>
      <c r="H63" s="25" t="s">
        <v>84</v>
      </c>
      <c r="I63" s="46"/>
      <c r="J63" s="46"/>
      <c r="K63" s="46"/>
      <c r="L63" s="46"/>
      <c r="M63" s="46"/>
      <c r="N63" s="46"/>
      <c r="O63" s="46"/>
      <c r="P63" s="46"/>
      <c r="Q63" s="45"/>
      <c r="R63" s="45"/>
      <c r="S63" s="45"/>
      <c r="T63" s="45"/>
      <c r="U63" s="45"/>
      <c r="V63" s="45"/>
      <c r="W63" s="45"/>
      <c r="X63" s="45"/>
      <c r="Y63" s="45"/>
      <c r="Z63" s="45"/>
      <c r="AA63" s="45"/>
      <c r="AB63" s="45"/>
      <c r="AC63" s="45"/>
      <c r="AD63" s="45"/>
      <c r="AE63" s="45"/>
      <c r="AF63" s="45"/>
      <c r="AG63" s="45"/>
      <c r="AH63" s="45"/>
    </row>
    <row r="64" spans="1:34" ht="15.5" thickTop="1" thickBot="1" x14ac:dyDescent="0.4">
      <c r="B64" s="9"/>
      <c r="C64" s="54" t="s">
        <v>4</v>
      </c>
      <c r="D64" s="55"/>
      <c r="E64" s="47"/>
      <c r="F64" s="54" t="s">
        <v>6</v>
      </c>
      <c r="G64" s="54" t="s">
        <v>46</v>
      </c>
      <c r="H64" s="50"/>
      <c r="I64" s="46"/>
      <c r="J64" s="46"/>
      <c r="K64" s="46"/>
      <c r="L64" s="46"/>
      <c r="M64" s="46"/>
      <c r="N64" s="46"/>
      <c r="O64" s="46"/>
      <c r="P64" s="46"/>
      <c r="Q64" s="45"/>
      <c r="R64" s="45"/>
      <c r="S64" s="45"/>
      <c r="T64" s="45"/>
      <c r="U64" s="45"/>
      <c r="V64" s="45"/>
      <c r="W64" s="45"/>
      <c r="X64" s="45"/>
      <c r="Y64" s="45"/>
      <c r="Z64" s="45"/>
      <c r="AA64" s="45"/>
      <c r="AB64" s="45"/>
      <c r="AC64" s="45"/>
      <c r="AD64" s="45"/>
      <c r="AE64" s="45"/>
      <c r="AF64" s="45"/>
      <c r="AG64" s="45"/>
      <c r="AH64" s="45"/>
    </row>
    <row r="65" spans="2:34" ht="15" thickTop="1" x14ac:dyDescent="0.35">
      <c r="B65" s="9"/>
      <c r="C65" s="46"/>
      <c r="D65" s="46"/>
      <c r="E65" s="47"/>
      <c r="F65" s="46"/>
      <c r="G65" s="46"/>
      <c r="H65" s="46"/>
      <c r="I65" s="46"/>
      <c r="J65" s="46"/>
      <c r="K65" s="46"/>
      <c r="L65" s="46"/>
      <c r="M65" s="46"/>
      <c r="N65" s="46"/>
      <c r="O65" s="46"/>
      <c r="P65" s="46"/>
      <c r="Q65" s="45"/>
      <c r="R65" s="45"/>
      <c r="S65" s="45"/>
      <c r="T65" s="45"/>
      <c r="U65" s="45"/>
      <c r="V65" s="45"/>
      <c r="W65" s="45"/>
      <c r="X65" s="45"/>
      <c r="Y65" s="45"/>
      <c r="Z65" s="45"/>
      <c r="AA65" s="45"/>
      <c r="AB65" s="45"/>
      <c r="AC65" s="45"/>
      <c r="AD65" s="45"/>
      <c r="AE65" s="45"/>
      <c r="AF65" s="45"/>
      <c r="AG65" s="45"/>
      <c r="AH65" s="45"/>
    </row>
    <row r="66" spans="2:34" x14ac:dyDescent="0.35">
      <c r="B66" s="9"/>
      <c r="C66" s="1"/>
      <c r="D66" s="1"/>
      <c r="E66" s="1"/>
      <c r="F66" s="1"/>
      <c r="G66" s="1"/>
      <c r="H66" s="1"/>
      <c r="I66" s="46"/>
      <c r="J66" s="46"/>
      <c r="K66" s="46"/>
      <c r="L66" s="46"/>
      <c r="M66" s="46"/>
      <c r="N66" s="46"/>
      <c r="O66" s="46"/>
      <c r="P66" s="46"/>
      <c r="Q66" s="45"/>
      <c r="R66" s="45"/>
      <c r="S66" s="45"/>
      <c r="T66" s="45"/>
      <c r="U66" s="45"/>
      <c r="V66" s="45"/>
      <c r="W66" s="45"/>
      <c r="X66" s="45"/>
      <c r="Y66" s="45"/>
      <c r="Z66" s="45"/>
      <c r="AA66" s="45"/>
      <c r="AB66" s="45"/>
      <c r="AC66" s="45"/>
      <c r="AD66" s="45"/>
      <c r="AE66" s="45"/>
      <c r="AF66" s="45"/>
      <c r="AG66" s="45"/>
      <c r="AH66" s="45"/>
    </row>
    <row r="67" spans="2:34" x14ac:dyDescent="0.35">
      <c r="B67" s="9"/>
      <c r="C67" s="1"/>
      <c r="D67" s="1"/>
      <c r="E67" s="1"/>
      <c r="F67" s="1"/>
      <c r="G67" s="1"/>
      <c r="H67" s="1"/>
      <c r="I67" s="46"/>
      <c r="J67" s="46"/>
      <c r="K67" s="46"/>
      <c r="L67" s="46"/>
      <c r="M67" s="46"/>
      <c r="N67" s="46"/>
      <c r="O67" s="46"/>
      <c r="P67" s="46"/>
      <c r="Q67" s="45"/>
      <c r="R67" s="45"/>
      <c r="S67" s="45"/>
      <c r="T67" s="45"/>
      <c r="U67" s="45"/>
      <c r="V67" s="45"/>
      <c r="W67" s="45"/>
      <c r="X67" s="45"/>
      <c r="Y67" s="45"/>
      <c r="Z67" s="45"/>
      <c r="AA67" s="45"/>
      <c r="AB67" s="45"/>
      <c r="AC67" s="45"/>
      <c r="AD67" s="45"/>
      <c r="AE67" s="45"/>
      <c r="AF67" s="45"/>
      <c r="AG67" s="45"/>
      <c r="AH67" s="45"/>
    </row>
    <row r="68" spans="2:34" x14ac:dyDescent="0.35">
      <c r="B68" s="9"/>
      <c r="C68" s="1"/>
      <c r="D68" s="1"/>
      <c r="E68" s="1"/>
      <c r="F68" s="1"/>
      <c r="G68" s="1"/>
      <c r="H68" s="1"/>
      <c r="I68" s="46"/>
      <c r="J68" s="46"/>
      <c r="K68" s="46"/>
      <c r="L68" s="46"/>
      <c r="M68" s="46"/>
      <c r="N68" s="46"/>
      <c r="O68" s="46"/>
      <c r="P68" s="46"/>
      <c r="Q68" s="45"/>
      <c r="R68" s="45"/>
      <c r="S68" s="45"/>
      <c r="T68" s="45"/>
      <c r="U68" s="45"/>
      <c r="V68" s="45"/>
      <c r="W68" s="45"/>
      <c r="X68" s="45"/>
      <c r="Y68" s="45"/>
      <c r="Z68" s="45"/>
      <c r="AA68" s="45"/>
      <c r="AB68" s="45"/>
      <c r="AC68" s="45"/>
      <c r="AD68" s="45"/>
      <c r="AE68" s="45"/>
      <c r="AF68" s="45"/>
      <c r="AG68" s="45"/>
      <c r="AH68" s="45"/>
    </row>
    <row r="69" spans="2:34" x14ac:dyDescent="0.35">
      <c r="B69" s="9"/>
      <c r="C69" s="1"/>
      <c r="D69" s="1"/>
      <c r="E69" s="1"/>
      <c r="F69" s="1"/>
      <c r="G69" s="1"/>
      <c r="H69" s="1"/>
      <c r="I69" s="46"/>
      <c r="J69" s="46"/>
      <c r="K69" s="46"/>
      <c r="L69" s="46"/>
      <c r="M69" s="46"/>
      <c r="N69" s="46"/>
      <c r="O69" s="46"/>
      <c r="P69" s="46"/>
      <c r="Q69" s="45"/>
      <c r="R69" s="45"/>
      <c r="S69" s="45"/>
      <c r="T69" s="45"/>
      <c r="U69" s="45"/>
      <c r="V69" s="45"/>
      <c r="W69" s="45"/>
      <c r="X69" s="45"/>
      <c r="Y69" s="45"/>
      <c r="Z69" s="45"/>
      <c r="AA69" s="45"/>
      <c r="AB69" s="45"/>
      <c r="AC69" s="45"/>
      <c r="AD69" s="45"/>
      <c r="AE69" s="45"/>
      <c r="AF69" s="45"/>
      <c r="AG69" s="45"/>
      <c r="AH69" s="45"/>
    </row>
    <row r="70" spans="2:34" x14ac:dyDescent="0.35">
      <c r="B70" s="9"/>
      <c r="C70" s="1"/>
      <c r="D70" s="1"/>
      <c r="E70" s="1"/>
      <c r="F70" s="1"/>
      <c r="G70" s="1"/>
      <c r="H70" s="1"/>
      <c r="I70" s="46"/>
      <c r="J70" s="46"/>
      <c r="K70" s="46"/>
      <c r="L70" s="46"/>
      <c r="M70" s="46"/>
      <c r="N70" s="46"/>
      <c r="O70" s="46"/>
      <c r="P70" s="46"/>
      <c r="Q70" s="45"/>
      <c r="R70" s="45"/>
      <c r="S70" s="45"/>
      <c r="T70" s="45"/>
      <c r="U70" s="45"/>
      <c r="V70" s="45"/>
      <c r="W70" s="45"/>
      <c r="X70" s="45"/>
      <c r="Y70" s="45"/>
      <c r="Z70" s="45"/>
      <c r="AA70" s="45"/>
      <c r="AB70" s="45"/>
      <c r="AC70" s="45"/>
      <c r="AD70" s="45"/>
      <c r="AE70" s="45"/>
      <c r="AF70" s="45"/>
      <c r="AG70" s="45"/>
      <c r="AH70" s="45"/>
    </row>
    <row r="71" spans="2:34" x14ac:dyDescent="0.35">
      <c r="B71" s="9"/>
      <c r="C71" s="1"/>
      <c r="D71" s="1"/>
      <c r="E71" s="1"/>
      <c r="F71" s="1"/>
      <c r="G71" s="1"/>
      <c r="H71" s="1"/>
      <c r="I71" s="46"/>
      <c r="J71" s="46"/>
      <c r="K71" s="46"/>
      <c r="L71" s="46"/>
      <c r="M71" s="46"/>
      <c r="N71" s="46"/>
      <c r="O71" s="46"/>
      <c r="P71" s="46"/>
      <c r="Q71" s="45"/>
      <c r="R71" s="45"/>
      <c r="S71" s="45"/>
      <c r="T71" s="45"/>
      <c r="U71" s="45"/>
      <c r="V71" s="45"/>
      <c r="W71" s="45"/>
      <c r="X71" s="45"/>
      <c r="Y71" s="45"/>
      <c r="Z71" s="45"/>
      <c r="AA71" s="45"/>
      <c r="AB71" s="45"/>
      <c r="AC71" s="45"/>
      <c r="AD71" s="45"/>
      <c r="AE71" s="45"/>
      <c r="AF71" s="45"/>
      <c r="AG71" s="45"/>
      <c r="AH71" s="45"/>
    </row>
    <row r="72" spans="2:34" x14ac:dyDescent="0.35">
      <c r="B72" s="9"/>
      <c r="C72" s="1"/>
      <c r="D72" s="1"/>
      <c r="E72" s="1"/>
      <c r="F72" s="1"/>
      <c r="G72" s="1"/>
      <c r="H72" s="1"/>
      <c r="I72" s="46"/>
      <c r="J72" s="46"/>
      <c r="K72" s="46"/>
      <c r="L72" s="46"/>
      <c r="M72" s="46"/>
      <c r="N72" s="46"/>
      <c r="O72" s="46"/>
      <c r="P72" s="46"/>
      <c r="Q72" s="45"/>
      <c r="R72" s="45"/>
      <c r="S72" s="45"/>
      <c r="T72" s="45"/>
      <c r="U72" s="45"/>
      <c r="V72" s="45"/>
      <c r="W72" s="45"/>
      <c r="X72" s="45"/>
      <c r="Y72" s="45"/>
      <c r="Z72" s="45"/>
      <c r="AA72" s="45"/>
      <c r="AB72" s="45"/>
      <c r="AC72" s="45"/>
      <c r="AD72" s="45"/>
      <c r="AE72" s="45"/>
      <c r="AF72" s="45"/>
      <c r="AG72" s="45"/>
      <c r="AH72" s="45"/>
    </row>
    <row r="73" spans="2:34" x14ac:dyDescent="0.35">
      <c r="B73" s="9"/>
      <c r="C73" s="1"/>
      <c r="D73" s="1"/>
      <c r="E73" s="1"/>
      <c r="F73" s="1"/>
      <c r="G73" s="1"/>
      <c r="H73" s="1"/>
      <c r="I73" s="46"/>
      <c r="J73" s="46"/>
      <c r="K73" s="46"/>
      <c r="L73" s="46"/>
      <c r="M73" s="46"/>
      <c r="N73" s="46"/>
      <c r="O73" s="46"/>
      <c r="P73" s="46"/>
      <c r="Q73" s="45"/>
      <c r="R73" s="45"/>
      <c r="S73" s="45"/>
      <c r="T73" s="45"/>
      <c r="U73" s="45"/>
      <c r="V73" s="45"/>
      <c r="W73" s="45"/>
      <c r="X73" s="45"/>
      <c r="Y73" s="45"/>
      <c r="Z73" s="45"/>
      <c r="AA73" s="45"/>
      <c r="AB73" s="45"/>
      <c r="AC73" s="45"/>
      <c r="AD73" s="45"/>
      <c r="AE73" s="45"/>
      <c r="AF73" s="45"/>
      <c r="AG73" s="45"/>
      <c r="AH73" s="45"/>
    </row>
    <row r="74" spans="2:34" x14ac:dyDescent="0.35">
      <c r="B74" s="9"/>
      <c r="C74" s="1"/>
      <c r="D74" s="1"/>
      <c r="E74" s="1"/>
      <c r="F74" s="1"/>
      <c r="G74" s="1"/>
      <c r="H74" s="1"/>
      <c r="I74" s="46"/>
      <c r="J74" s="46"/>
      <c r="K74" s="46"/>
      <c r="L74" s="46"/>
      <c r="M74" s="46"/>
      <c r="N74" s="46"/>
      <c r="O74" s="46"/>
      <c r="P74" s="46"/>
      <c r="Q74" s="45"/>
      <c r="R74" s="45"/>
      <c r="S74" s="45"/>
      <c r="T74" s="45"/>
      <c r="U74" s="45"/>
      <c r="V74" s="45"/>
      <c r="W74" s="45"/>
      <c r="X74" s="45"/>
      <c r="Y74" s="45"/>
      <c r="Z74" s="45"/>
      <c r="AA74" s="45"/>
      <c r="AB74" s="45"/>
      <c r="AC74" s="45"/>
      <c r="AD74" s="45"/>
      <c r="AE74" s="45"/>
      <c r="AF74" s="45"/>
      <c r="AG74" s="45"/>
      <c r="AH74" s="45"/>
    </row>
    <row r="75" spans="2:34" x14ac:dyDescent="0.35">
      <c r="B75" s="9"/>
      <c r="C75" s="1"/>
      <c r="D75" s="1"/>
      <c r="E75" s="1"/>
      <c r="F75" s="1"/>
      <c r="G75" s="1"/>
      <c r="H75" s="1"/>
      <c r="I75" s="46"/>
      <c r="J75" s="46"/>
      <c r="K75" s="46"/>
      <c r="L75" s="46"/>
      <c r="M75" s="46"/>
      <c r="N75" s="46"/>
      <c r="O75" s="46"/>
      <c r="P75" s="46"/>
      <c r="Q75" s="45"/>
      <c r="R75" s="45"/>
      <c r="S75" s="45"/>
      <c r="T75" s="45"/>
      <c r="U75" s="45"/>
      <c r="V75" s="45"/>
      <c r="W75" s="45"/>
      <c r="X75" s="45"/>
      <c r="Y75" s="45"/>
      <c r="Z75" s="45"/>
      <c r="AA75" s="45"/>
      <c r="AB75" s="45"/>
      <c r="AC75" s="45"/>
      <c r="AD75" s="45"/>
      <c r="AE75" s="45"/>
      <c r="AF75" s="45"/>
      <c r="AG75" s="45"/>
      <c r="AH75" s="45"/>
    </row>
    <row r="76" spans="2:34" x14ac:dyDescent="0.35">
      <c r="B76" s="9"/>
      <c r="C76" s="1"/>
      <c r="D76" s="1"/>
      <c r="E76" s="1"/>
      <c r="F76" s="1"/>
      <c r="G76" s="1"/>
      <c r="H76" s="1"/>
      <c r="I76" s="46"/>
      <c r="J76" s="46"/>
      <c r="K76" s="46"/>
      <c r="L76" s="46"/>
      <c r="M76" s="46"/>
      <c r="N76" s="46"/>
      <c r="O76" s="46"/>
      <c r="P76" s="46"/>
      <c r="Q76" s="45"/>
      <c r="R76" s="45"/>
      <c r="S76" s="45"/>
      <c r="T76" s="45"/>
      <c r="U76" s="45"/>
      <c r="V76" s="45"/>
      <c r="W76" s="45"/>
      <c r="X76" s="45"/>
      <c r="Y76" s="45"/>
      <c r="Z76" s="45"/>
      <c r="AA76" s="45"/>
      <c r="AB76" s="45"/>
      <c r="AC76" s="45"/>
      <c r="AD76" s="45"/>
      <c r="AE76" s="45"/>
      <c r="AF76" s="45"/>
      <c r="AG76" s="45"/>
      <c r="AH76" s="45"/>
    </row>
    <row r="77" spans="2:34" x14ac:dyDescent="0.35">
      <c r="B77" s="9"/>
      <c r="C77" s="1"/>
      <c r="D77" s="1"/>
      <c r="E77" s="1"/>
      <c r="F77" s="1"/>
      <c r="G77" s="1"/>
      <c r="H77" s="1"/>
      <c r="I77" s="46"/>
      <c r="J77" s="46"/>
      <c r="K77" s="46"/>
      <c r="L77" s="46"/>
      <c r="M77" s="46"/>
      <c r="N77" s="46"/>
      <c r="O77" s="46"/>
      <c r="P77" s="46"/>
      <c r="Q77" s="45"/>
      <c r="R77" s="45"/>
      <c r="S77" s="45"/>
      <c r="T77" s="45"/>
      <c r="U77" s="45"/>
      <c r="V77" s="45"/>
      <c r="W77" s="45"/>
      <c r="X77" s="45"/>
      <c r="Y77" s="45"/>
      <c r="Z77" s="45"/>
      <c r="AA77" s="45"/>
      <c r="AB77" s="45"/>
      <c r="AC77" s="45"/>
      <c r="AD77" s="45"/>
      <c r="AE77" s="45"/>
      <c r="AF77" s="45"/>
      <c r="AG77" s="45"/>
      <c r="AH77" s="45"/>
    </row>
    <row r="78" spans="2:34" x14ac:dyDescent="0.35">
      <c r="B78" s="9"/>
      <c r="C78" s="1"/>
      <c r="D78" s="1"/>
      <c r="E78" s="1"/>
      <c r="F78" s="1"/>
      <c r="G78" s="1"/>
      <c r="H78" s="1"/>
      <c r="I78" s="46"/>
      <c r="J78" s="46"/>
      <c r="K78" s="46"/>
      <c r="L78" s="46"/>
      <c r="M78" s="46"/>
      <c r="N78" s="46"/>
      <c r="O78" s="46"/>
      <c r="P78" s="46"/>
      <c r="Q78" s="45"/>
      <c r="R78" s="45"/>
      <c r="S78" s="45"/>
      <c r="T78" s="45"/>
      <c r="U78" s="45"/>
      <c r="V78" s="45"/>
      <c r="W78" s="45"/>
      <c r="X78" s="45"/>
      <c r="Y78" s="45"/>
      <c r="Z78" s="45"/>
      <c r="AA78" s="45"/>
      <c r="AB78" s="45"/>
      <c r="AC78" s="45"/>
      <c r="AD78" s="45"/>
      <c r="AE78" s="45"/>
      <c r="AF78" s="45"/>
      <c r="AG78" s="45"/>
      <c r="AH78" s="45"/>
    </row>
    <row r="79" spans="2:34" x14ac:dyDescent="0.35">
      <c r="B79" s="9"/>
      <c r="C79" s="1"/>
      <c r="D79" s="1"/>
      <c r="E79" s="1"/>
      <c r="F79" s="1"/>
      <c r="G79" s="1"/>
      <c r="H79" s="1"/>
      <c r="I79" s="46"/>
      <c r="J79" s="46"/>
      <c r="K79" s="46"/>
      <c r="L79" s="46"/>
      <c r="M79" s="46"/>
      <c r="N79" s="46"/>
      <c r="O79" s="46"/>
      <c r="P79" s="46"/>
      <c r="Q79" s="45"/>
      <c r="R79" s="45"/>
      <c r="S79" s="45"/>
      <c r="T79" s="45"/>
      <c r="U79" s="45"/>
      <c r="V79" s="45"/>
      <c r="W79" s="45"/>
      <c r="X79" s="45"/>
      <c r="Y79" s="45"/>
      <c r="Z79" s="45"/>
      <c r="AA79" s="45"/>
      <c r="AB79" s="45"/>
      <c r="AC79" s="45"/>
      <c r="AD79" s="45"/>
      <c r="AE79" s="45"/>
      <c r="AF79" s="45"/>
      <c r="AG79" s="45"/>
      <c r="AH79" s="45"/>
    </row>
    <row r="80" spans="2:34" x14ac:dyDescent="0.35">
      <c r="B80" s="9"/>
      <c r="C80" s="1"/>
      <c r="D80" s="1"/>
      <c r="E80" s="1"/>
      <c r="F80" s="1"/>
      <c r="G80" s="1"/>
      <c r="H80" s="1"/>
      <c r="I80" s="46"/>
      <c r="J80" s="46"/>
      <c r="K80" s="46"/>
      <c r="L80" s="46"/>
      <c r="M80" s="46"/>
      <c r="N80" s="46"/>
      <c r="O80" s="46"/>
      <c r="P80" s="46"/>
      <c r="Q80" s="45"/>
      <c r="R80" s="45"/>
      <c r="S80" s="45"/>
      <c r="T80" s="45"/>
      <c r="U80" s="45"/>
      <c r="V80" s="45"/>
      <c r="W80" s="45"/>
      <c r="X80" s="45"/>
      <c r="Y80" s="45"/>
      <c r="Z80" s="45"/>
      <c r="AA80" s="45"/>
      <c r="AB80" s="45"/>
      <c r="AC80" s="45"/>
      <c r="AD80" s="45"/>
      <c r="AE80" s="45"/>
      <c r="AF80" s="45"/>
      <c r="AG80" s="45"/>
      <c r="AH80" s="45"/>
    </row>
    <row r="81" spans="2:34" x14ac:dyDescent="0.35">
      <c r="B81" s="9"/>
      <c r="C81" s="1"/>
      <c r="D81" s="1"/>
      <c r="E81" s="1"/>
      <c r="F81" s="1"/>
      <c r="G81" s="1"/>
      <c r="H81" s="1"/>
      <c r="I81" s="46"/>
      <c r="J81" s="46"/>
      <c r="K81" s="46"/>
      <c r="L81" s="46"/>
      <c r="M81" s="46"/>
      <c r="N81" s="46"/>
      <c r="O81" s="46"/>
      <c r="P81" s="46"/>
      <c r="Q81" s="45"/>
      <c r="R81" s="45"/>
      <c r="S81" s="45"/>
      <c r="T81" s="45"/>
      <c r="U81" s="45"/>
      <c r="V81" s="45"/>
      <c r="W81" s="45"/>
      <c r="X81" s="45"/>
      <c r="Y81" s="45"/>
      <c r="Z81" s="45"/>
      <c r="AA81" s="45"/>
      <c r="AB81" s="45"/>
      <c r="AC81" s="45"/>
      <c r="AD81" s="45"/>
      <c r="AE81" s="45"/>
      <c r="AF81" s="45"/>
      <c r="AG81" s="45"/>
      <c r="AH81" s="45"/>
    </row>
    <row r="82" spans="2:34" x14ac:dyDescent="0.35">
      <c r="B82" s="9"/>
      <c r="F82" s="46"/>
      <c r="G82" s="46"/>
      <c r="H82" s="46"/>
      <c r="I82" s="46"/>
      <c r="J82" s="46"/>
      <c r="K82" s="46"/>
      <c r="L82" s="46"/>
      <c r="M82" s="46"/>
      <c r="N82" s="46"/>
      <c r="O82" s="46"/>
      <c r="P82" s="46"/>
      <c r="Q82" s="45"/>
      <c r="R82" s="45"/>
      <c r="S82" s="45"/>
      <c r="T82" s="45"/>
      <c r="U82" s="45"/>
      <c r="V82" s="45"/>
      <c r="W82" s="45"/>
      <c r="X82" s="45"/>
      <c r="Y82" s="45"/>
      <c r="Z82" s="45"/>
      <c r="AA82" s="45"/>
      <c r="AB82" s="45"/>
      <c r="AC82" s="45"/>
      <c r="AD82" s="45"/>
      <c r="AE82" s="45"/>
      <c r="AF82" s="45"/>
      <c r="AG82" s="45"/>
      <c r="AH82" s="45"/>
    </row>
    <row r="83" spans="2:34" x14ac:dyDescent="0.35">
      <c r="B83" s="9"/>
      <c r="F83" s="46"/>
      <c r="G83" s="46"/>
      <c r="H83" s="46"/>
      <c r="I83" s="46"/>
      <c r="J83" s="46"/>
      <c r="K83" s="46"/>
      <c r="L83" s="46"/>
      <c r="M83" s="46"/>
      <c r="N83" s="46"/>
      <c r="O83" s="46"/>
      <c r="P83" s="46"/>
      <c r="Q83" s="45"/>
      <c r="R83" s="45"/>
      <c r="S83" s="45"/>
      <c r="T83" s="45"/>
      <c r="U83" s="45"/>
      <c r="V83" s="45"/>
      <c r="W83" s="45"/>
      <c r="X83" s="45"/>
      <c r="Y83" s="45"/>
      <c r="Z83" s="45"/>
      <c r="AA83" s="45"/>
      <c r="AB83" s="45"/>
      <c r="AC83" s="45"/>
      <c r="AD83" s="45"/>
      <c r="AE83" s="45"/>
      <c r="AF83" s="45"/>
      <c r="AG83" s="45"/>
      <c r="AH83" s="45"/>
    </row>
    <row r="84" spans="2:34" x14ac:dyDescent="0.35">
      <c r="B84" s="9"/>
      <c r="F84" s="46"/>
      <c r="G84" s="46"/>
      <c r="H84" s="46"/>
      <c r="I84" s="46"/>
      <c r="J84" s="46"/>
      <c r="K84" s="46"/>
      <c r="L84" s="46"/>
      <c r="M84" s="46"/>
      <c r="N84" s="46"/>
      <c r="O84" s="46"/>
      <c r="P84" s="46"/>
      <c r="Q84" s="45"/>
      <c r="R84" s="45"/>
      <c r="S84" s="45"/>
      <c r="T84" s="45"/>
      <c r="U84" s="45"/>
      <c r="V84" s="45"/>
      <c r="W84" s="45"/>
      <c r="X84" s="45"/>
      <c r="Y84" s="45"/>
      <c r="Z84" s="45"/>
      <c r="AA84" s="45"/>
      <c r="AB84" s="45"/>
      <c r="AC84" s="45"/>
      <c r="AD84" s="45"/>
      <c r="AE84" s="45"/>
      <c r="AF84" s="45"/>
      <c r="AG84" s="45"/>
      <c r="AH84" s="45"/>
    </row>
    <row r="85" spans="2:34" x14ac:dyDescent="0.35">
      <c r="B85" s="9"/>
      <c r="F85" s="46"/>
      <c r="G85" s="46"/>
      <c r="H85" s="46"/>
      <c r="I85" s="46"/>
      <c r="J85" s="46"/>
      <c r="K85" s="46"/>
      <c r="L85" s="46"/>
      <c r="M85" s="46"/>
      <c r="N85" s="46"/>
      <c r="O85" s="46"/>
      <c r="P85" s="46"/>
      <c r="Q85" s="45"/>
      <c r="R85" s="45"/>
      <c r="S85" s="45"/>
      <c r="T85" s="45"/>
      <c r="U85" s="45"/>
      <c r="V85" s="45"/>
      <c r="W85" s="45"/>
      <c r="X85" s="45"/>
      <c r="Y85" s="45"/>
      <c r="Z85" s="45"/>
      <c r="AA85" s="45"/>
      <c r="AB85" s="45"/>
      <c r="AC85" s="45"/>
      <c r="AD85" s="45"/>
      <c r="AE85" s="45"/>
      <c r="AF85" s="45"/>
      <c r="AG85" s="45"/>
      <c r="AH85" s="45"/>
    </row>
    <row r="86" spans="2:34" x14ac:dyDescent="0.35">
      <c r="B86" s="9"/>
      <c r="F86" s="46"/>
      <c r="G86" s="46"/>
      <c r="H86" s="46"/>
      <c r="I86" s="46"/>
      <c r="J86" s="46"/>
      <c r="K86" s="46"/>
      <c r="L86" s="46"/>
      <c r="M86" s="46"/>
      <c r="N86" s="46"/>
      <c r="O86" s="46"/>
      <c r="P86" s="46"/>
      <c r="Q86" s="45"/>
      <c r="R86" s="45"/>
      <c r="S86" s="45"/>
      <c r="T86" s="45"/>
      <c r="U86" s="45"/>
      <c r="V86" s="45"/>
      <c r="W86" s="45"/>
      <c r="X86" s="45"/>
      <c r="Y86" s="45"/>
      <c r="Z86" s="45"/>
      <c r="AA86" s="45"/>
      <c r="AB86" s="45"/>
      <c r="AC86" s="45"/>
      <c r="AD86" s="45"/>
      <c r="AE86" s="45"/>
      <c r="AF86" s="45"/>
      <c r="AG86" s="45"/>
      <c r="AH86" s="45"/>
    </row>
    <row r="87" spans="2:34" x14ac:dyDescent="0.35">
      <c r="B87" s="9"/>
      <c r="F87" s="46"/>
      <c r="G87" s="46"/>
      <c r="H87" s="46"/>
      <c r="I87" s="46"/>
      <c r="J87" s="46"/>
      <c r="K87" s="46"/>
      <c r="L87" s="46"/>
      <c r="M87" s="46"/>
      <c r="N87" s="46"/>
      <c r="O87" s="46"/>
      <c r="P87" s="46"/>
      <c r="Q87" s="45"/>
      <c r="R87" s="45"/>
      <c r="S87" s="45"/>
      <c r="T87" s="45"/>
      <c r="U87" s="45"/>
      <c r="V87" s="45"/>
      <c r="W87" s="45"/>
      <c r="X87" s="45"/>
      <c r="Y87" s="45"/>
      <c r="Z87" s="45"/>
      <c r="AA87" s="45"/>
      <c r="AB87" s="45"/>
      <c r="AC87" s="45"/>
      <c r="AD87" s="45"/>
      <c r="AE87" s="45"/>
      <c r="AF87" s="45"/>
      <c r="AG87" s="45"/>
      <c r="AH87" s="45"/>
    </row>
    <row r="88" spans="2:34" x14ac:dyDescent="0.35">
      <c r="B88" s="9"/>
      <c r="F88" s="46"/>
      <c r="G88" s="46"/>
      <c r="H88" s="46"/>
      <c r="I88" s="46"/>
      <c r="J88" s="46"/>
      <c r="K88" s="46"/>
      <c r="L88" s="46"/>
      <c r="M88" s="46"/>
      <c r="N88" s="46"/>
      <c r="O88" s="46"/>
      <c r="P88" s="46"/>
      <c r="Q88" s="45"/>
      <c r="R88" s="45"/>
      <c r="S88" s="45"/>
      <c r="T88" s="45"/>
      <c r="U88" s="45"/>
      <c r="V88" s="45"/>
      <c r="W88" s="45"/>
      <c r="X88" s="45"/>
      <c r="Y88" s="45"/>
      <c r="Z88" s="45"/>
      <c r="AA88" s="45"/>
      <c r="AB88" s="45"/>
      <c r="AC88" s="45"/>
      <c r="AD88" s="45"/>
      <c r="AE88" s="45"/>
      <c r="AF88" s="45"/>
      <c r="AG88" s="45"/>
      <c r="AH88" s="45"/>
    </row>
    <row r="89" spans="2:34" x14ac:dyDescent="0.35">
      <c r="B89" s="9"/>
      <c r="F89" s="46"/>
      <c r="G89" s="46"/>
      <c r="H89" s="46"/>
      <c r="I89" s="46"/>
      <c r="J89" s="46"/>
      <c r="K89" s="46"/>
      <c r="L89" s="46"/>
      <c r="M89" s="46"/>
      <c r="N89" s="46"/>
      <c r="O89" s="46"/>
      <c r="P89" s="46"/>
      <c r="Q89" s="45"/>
      <c r="R89" s="45"/>
      <c r="S89" s="45"/>
      <c r="T89" s="45"/>
      <c r="U89" s="45"/>
      <c r="V89" s="45"/>
      <c r="W89" s="45"/>
      <c r="X89" s="45"/>
      <c r="Y89" s="45"/>
      <c r="Z89" s="45"/>
      <c r="AA89" s="45"/>
      <c r="AB89" s="45"/>
      <c r="AC89" s="45"/>
      <c r="AD89" s="45"/>
      <c r="AE89" s="45"/>
      <c r="AF89" s="45"/>
      <c r="AG89" s="45"/>
      <c r="AH89" s="45"/>
    </row>
    <row r="90" spans="2:34" ht="15" customHeight="1" x14ac:dyDescent="0.35">
      <c r="B90" s="9"/>
      <c r="F90" s="45"/>
      <c r="G90" s="45"/>
      <c r="H90" s="45"/>
      <c r="I90" s="45"/>
      <c r="J90" s="46"/>
      <c r="K90" s="46"/>
      <c r="L90" s="45"/>
      <c r="M90" s="45"/>
      <c r="N90" s="46"/>
      <c r="O90" s="45"/>
      <c r="P90" s="45"/>
      <c r="Q90" s="45"/>
      <c r="R90" s="45"/>
      <c r="S90" s="45"/>
      <c r="T90" s="45"/>
      <c r="U90" s="45"/>
      <c r="V90" s="45"/>
      <c r="W90" s="45"/>
      <c r="X90" s="45"/>
      <c r="Y90" s="45"/>
      <c r="Z90" s="45"/>
      <c r="AA90" s="45"/>
      <c r="AB90" s="45"/>
      <c r="AC90" s="45"/>
      <c r="AD90" s="45"/>
      <c r="AE90" s="45"/>
      <c r="AF90" s="45"/>
      <c r="AG90" s="45"/>
      <c r="AH90" s="45"/>
    </row>
    <row r="91" spans="2:34" ht="15" customHeight="1" x14ac:dyDescent="0.35">
      <c r="B91" s="9"/>
      <c r="C91" s="7" t="s">
        <v>1</v>
      </c>
      <c r="D91" s="7" t="s">
        <v>44</v>
      </c>
      <c r="E91" s="8" t="s">
        <v>2</v>
      </c>
      <c r="F91" s="45"/>
      <c r="G91" s="45"/>
      <c r="H91" s="45"/>
      <c r="I91" s="45"/>
      <c r="J91" s="46"/>
      <c r="K91" s="46"/>
      <c r="L91" s="45"/>
      <c r="M91" s="45"/>
      <c r="N91" s="46"/>
      <c r="O91" s="45"/>
      <c r="P91" s="45"/>
      <c r="Q91" s="45"/>
      <c r="R91" s="45"/>
      <c r="S91" s="45"/>
      <c r="T91" s="45"/>
      <c r="U91" s="45"/>
      <c r="V91" s="45"/>
      <c r="W91" s="45"/>
      <c r="X91" s="45"/>
      <c r="Y91" s="45"/>
      <c r="Z91" s="45"/>
      <c r="AA91" s="45"/>
      <c r="AB91" s="45"/>
      <c r="AC91" s="45"/>
      <c r="AD91" s="45"/>
      <c r="AE91" s="45"/>
      <c r="AF91" s="45"/>
      <c r="AG91" s="45"/>
      <c r="AH91" s="45"/>
    </row>
    <row r="92" spans="2:34" ht="15" customHeight="1" x14ac:dyDescent="0.35">
      <c r="B92" s="9"/>
      <c r="C92" s="48" t="s">
        <v>4</v>
      </c>
      <c r="D92" s="48" t="s">
        <v>45</v>
      </c>
      <c r="E92" s="49">
        <v>50</v>
      </c>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row>
    <row r="93" spans="2:34" ht="15" customHeight="1" x14ac:dyDescent="0.35">
      <c r="B93" s="9"/>
      <c r="C93" s="48" t="s">
        <v>6</v>
      </c>
      <c r="D93" s="48" t="s">
        <v>46</v>
      </c>
      <c r="E93" s="49">
        <v>20</v>
      </c>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row>
    <row r="94" spans="2:34" ht="15" customHeight="1" x14ac:dyDescent="0.35">
      <c r="B94" s="9"/>
      <c r="C94" s="48" t="s">
        <v>8</v>
      </c>
      <c r="D94" s="48" t="s">
        <v>47</v>
      </c>
      <c r="E94" s="49">
        <v>60</v>
      </c>
      <c r="H94" s="46"/>
      <c r="I94" s="46"/>
      <c r="J94" s="46"/>
      <c r="K94" s="46"/>
      <c r="L94" s="45"/>
      <c r="M94" s="45"/>
      <c r="N94" s="45"/>
      <c r="O94" s="45"/>
      <c r="P94" s="45"/>
      <c r="Q94" s="45"/>
      <c r="R94" s="45"/>
      <c r="S94" s="45"/>
      <c r="T94" s="45"/>
      <c r="U94" s="45"/>
      <c r="V94" s="45"/>
      <c r="W94" s="45"/>
      <c r="X94" s="45"/>
      <c r="Y94" s="45"/>
      <c r="Z94" s="45"/>
      <c r="AA94" s="45"/>
      <c r="AB94" s="45"/>
      <c r="AC94" s="45"/>
      <c r="AD94" s="45"/>
      <c r="AE94" s="45"/>
      <c r="AF94" s="45"/>
      <c r="AG94" s="45"/>
      <c r="AH94" s="45"/>
    </row>
    <row r="95" spans="2:34" ht="15" customHeight="1" x14ac:dyDescent="0.35">
      <c r="B95" s="9"/>
      <c r="C95" s="48" t="s">
        <v>10</v>
      </c>
      <c r="D95" s="48" t="s">
        <v>48</v>
      </c>
      <c r="E95" s="49">
        <v>40</v>
      </c>
      <c r="H95" s="46"/>
      <c r="I95" s="46"/>
      <c r="J95" s="46"/>
      <c r="K95" s="46"/>
      <c r="L95" s="45"/>
      <c r="M95" s="45"/>
      <c r="N95" s="45"/>
      <c r="O95" s="45"/>
      <c r="P95" s="45"/>
      <c r="Q95" s="45"/>
      <c r="R95" s="45"/>
      <c r="S95" s="45"/>
      <c r="T95" s="45"/>
      <c r="U95" s="45"/>
      <c r="V95" s="45"/>
      <c r="W95" s="45"/>
      <c r="X95" s="45"/>
      <c r="Y95" s="45"/>
      <c r="Z95" s="45"/>
      <c r="AA95" s="45"/>
      <c r="AB95" s="45"/>
      <c r="AC95" s="45"/>
      <c r="AD95" s="45"/>
      <c r="AE95" s="45"/>
      <c r="AF95" s="45"/>
      <c r="AG95" s="45"/>
      <c r="AH95" s="45"/>
    </row>
    <row r="96" spans="2:34" ht="15" customHeight="1" x14ac:dyDescent="0.35">
      <c r="B96" s="9"/>
      <c r="C96" s="48" t="s">
        <v>4</v>
      </c>
      <c r="D96" s="48" t="s">
        <v>49</v>
      </c>
      <c r="E96" s="49">
        <v>50</v>
      </c>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row>
    <row r="97" spans="2:34" x14ac:dyDescent="0.35">
      <c r="B97" s="9"/>
      <c r="C97" s="48" t="s">
        <v>6</v>
      </c>
      <c r="D97" s="48" t="s">
        <v>50</v>
      </c>
      <c r="E97" s="49">
        <v>20</v>
      </c>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row>
    <row r="98" spans="2:34" x14ac:dyDescent="0.35">
      <c r="B98" s="9"/>
      <c r="C98" s="48" t="s">
        <v>8</v>
      </c>
      <c r="D98" s="48" t="s">
        <v>51</v>
      </c>
      <c r="E98" s="49">
        <v>60</v>
      </c>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row>
    <row r="99" spans="2:34" x14ac:dyDescent="0.35">
      <c r="B99" s="9"/>
      <c r="C99" s="48" t="s">
        <v>10</v>
      </c>
      <c r="D99" s="48" t="s">
        <v>52</v>
      </c>
      <c r="E99" s="49">
        <v>40</v>
      </c>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row>
    <row r="100" spans="2:34" x14ac:dyDescent="0.35">
      <c r="B100" s="9"/>
      <c r="C100" s="48" t="s">
        <v>4</v>
      </c>
      <c r="D100" s="48" t="s">
        <v>49</v>
      </c>
      <c r="E100" s="49">
        <v>50</v>
      </c>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row>
    <row r="101" spans="2:34" x14ac:dyDescent="0.35">
      <c r="B101" s="9"/>
      <c r="C101" s="48" t="s">
        <v>6</v>
      </c>
      <c r="D101" s="48" t="s">
        <v>50</v>
      </c>
      <c r="E101" s="49">
        <v>20</v>
      </c>
      <c r="F101" s="45"/>
      <c r="G101" s="45"/>
    </row>
    <row r="102" spans="2:34" ht="15" customHeight="1" x14ac:dyDescent="0.35">
      <c r="B102" s="9"/>
      <c r="C102" s="48" t="s">
        <v>8</v>
      </c>
      <c r="D102" s="48" t="s">
        <v>47</v>
      </c>
      <c r="E102" s="49">
        <v>60</v>
      </c>
      <c r="F102" s="45"/>
      <c r="G102" s="45"/>
    </row>
    <row r="103" spans="2:34" ht="15" customHeight="1" x14ac:dyDescent="0.35">
      <c r="B103" s="9"/>
      <c r="C103" s="48" t="s">
        <v>10</v>
      </c>
      <c r="D103" s="48" t="s">
        <v>52</v>
      </c>
      <c r="E103" s="49">
        <v>40</v>
      </c>
      <c r="F103" s="45"/>
      <c r="G103" s="45"/>
    </row>
    <row r="104" spans="2:34" ht="15" customHeight="1" x14ac:dyDescent="0.35">
      <c r="B104" s="9"/>
      <c r="C104" s="46"/>
      <c r="D104" s="46"/>
      <c r="E104" s="47"/>
    </row>
    <row r="105" spans="2:34" ht="15" customHeight="1" thickBot="1" x14ac:dyDescent="0.4">
      <c r="B105" s="9"/>
      <c r="C105" s="46" t="s">
        <v>1</v>
      </c>
      <c r="D105" s="46" t="s">
        <v>44</v>
      </c>
      <c r="E105" s="25" t="s">
        <v>82</v>
      </c>
    </row>
    <row r="106" spans="2:34" ht="15" customHeight="1" thickTop="1" thickBot="1" x14ac:dyDescent="0.4">
      <c r="B106" s="9"/>
      <c r="C106" s="54" t="s">
        <v>10</v>
      </c>
      <c r="D106" s="54" t="s">
        <v>52</v>
      </c>
      <c r="E106" s="50"/>
    </row>
    <row r="107" spans="2:34" ht="15" customHeight="1" thickTop="1" x14ac:dyDescent="0.35">
      <c r="B107" s="9"/>
      <c r="E107" s="45"/>
    </row>
    <row r="108" spans="2:34" x14ac:dyDescent="0.35">
      <c r="E108" s="45"/>
    </row>
    <row r="109" spans="2:34" x14ac:dyDescent="0.35">
      <c r="E109" s="45"/>
    </row>
    <row r="110" spans="2:34" x14ac:dyDescent="0.35">
      <c r="E110" s="45"/>
    </row>
    <row r="117" spans="3:4" x14ac:dyDescent="0.35">
      <c r="C117" s="7" t="s">
        <v>12</v>
      </c>
      <c r="D117" s="7" t="s">
        <v>2</v>
      </c>
    </row>
    <row r="118" spans="3:4" x14ac:dyDescent="0.35">
      <c r="C118" s="13" t="s">
        <v>13</v>
      </c>
      <c r="D118" s="13">
        <v>50</v>
      </c>
    </row>
    <row r="119" spans="3:4" x14ac:dyDescent="0.35">
      <c r="C119" s="13" t="s">
        <v>14</v>
      </c>
      <c r="D119" s="13">
        <v>100</v>
      </c>
    </row>
    <row r="120" spans="3:4" x14ac:dyDescent="0.35">
      <c r="C120" s="13" t="s">
        <v>15</v>
      </c>
      <c r="D120" s="13">
        <v>40</v>
      </c>
    </row>
    <row r="121" spans="3:4" x14ac:dyDescent="0.35">
      <c r="C121" s="13" t="s">
        <v>16</v>
      </c>
      <c r="D121" s="13">
        <v>50</v>
      </c>
    </row>
    <row r="122" spans="3:4" ht="15" thickBot="1" x14ac:dyDescent="0.4">
      <c r="C122" s="13" t="s">
        <v>17</v>
      </c>
      <c r="D122" s="13">
        <v>20</v>
      </c>
    </row>
    <row r="123" spans="3:4" ht="15.5" thickTop="1" thickBot="1" x14ac:dyDescent="0.4">
      <c r="C123" s="59"/>
      <c r="D123" s="60"/>
    </row>
    <row r="124" spans="3:4" ht="15" thickTop="1" x14ac:dyDescent="0.35"/>
  </sheetData>
  <dataValidations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topLeftCell="A2" workbookViewId="0">
      <selection activeCell="D10" sqref="D10"/>
    </sheetView>
  </sheetViews>
  <sheetFormatPr defaultRowHeight="14.5" x14ac:dyDescent="0.35"/>
  <cols>
    <col min="1" max="1" width="13" customWidth="1"/>
    <col min="2" max="2" width="82.90625" customWidth="1"/>
    <col min="3" max="4" width="13.08984375" customWidth="1"/>
  </cols>
  <sheetData>
    <row r="1" spans="1:4" ht="60" customHeight="1" x14ac:dyDescent="0.35">
      <c r="A1" s="29" t="s">
        <v>257</v>
      </c>
      <c r="C1" s="80"/>
      <c r="D1" s="93"/>
    </row>
    <row r="2" spans="1:4" x14ac:dyDescent="0.35">
      <c r="A2" s="29" t="s">
        <v>258</v>
      </c>
    </row>
    <row r="3" spans="1:4" ht="15" customHeight="1" x14ac:dyDescent="0.35">
      <c r="A3" s="31" t="s">
        <v>313</v>
      </c>
    </row>
    <row r="4" spans="1:4" ht="15" customHeight="1" x14ac:dyDescent="0.35">
      <c r="A4" s="31" t="s">
        <v>288</v>
      </c>
      <c r="C4" s="39" t="s">
        <v>1</v>
      </c>
      <c r="D4" s="34" t="s">
        <v>2</v>
      </c>
    </row>
    <row r="5" spans="1:4" ht="15" customHeight="1" x14ac:dyDescent="0.35">
      <c r="A5" s="31" t="s">
        <v>299</v>
      </c>
      <c r="C5" s="48" t="s">
        <v>4</v>
      </c>
      <c r="D5" s="49">
        <v>50</v>
      </c>
    </row>
    <row r="6" spans="1:4" x14ac:dyDescent="0.35">
      <c r="A6" s="29" t="s">
        <v>259</v>
      </c>
      <c r="C6" s="48" t="s">
        <v>6</v>
      </c>
      <c r="D6" s="49">
        <v>20</v>
      </c>
    </row>
    <row r="7" spans="1:4" ht="15" customHeight="1" x14ac:dyDescent="0.35">
      <c r="A7" s="31" t="s">
        <v>289</v>
      </c>
      <c r="C7" s="48" t="s">
        <v>8</v>
      </c>
      <c r="D7" s="49">
        <v>60</v>
      </c>
    </row>
    <row r="8" spans="1:4" ht="15" customHeight="1" x14ac:dyDescent="0.35">
      <c r="A8" s="29" t="s">
        <v>146</v>
      </c>
      <c r="C8" s="48" t="s">
        <v>10</v>
      </c>
      <c r="D8" s="49">
        <v>40</v>
      </c>
    </row>
    <row r="9" spans="1:4" ht="15" customHeight="1" thickBot="1" x14ac:dyDescent="0.4">
      <c r="A9" s="29" t="s">
        <v>147</v>
      </c>
      <c r="C9" s="46"/>
      <c r="D9" s="46"/>
    </row>
    <row r="10" spans="1:4" ht="15.5" thickTop="1" thickBot="1" x14ac:dyDescent="0.4">
      <c r="A10" s="29" t="s">
        <v>30</v>
      </c>
      <c r="C10" s="62" t="s">
        <v>4</v>
      </c>
      <c r="D10" s="50"/>
    </row>
    <row r="11" spans="1:4" ht="15" thickTop="1" x14ac:dyDescent="0.35">
      <c r="A11" s="29" t="s">
        <v>149</v>
      </c>
    </row>
    <row r="12" spans="1:4" x14ac:dyDescent="0.35">
      <c r="A12" s="29" t="s">
        <v>260</v>
      </c>
    </row>
    <row r="13" spans="1:4" x14ac:dyDescent="0.35">
      <c r="A13" s="29" t="s">
        <v>261</v>
      </c>
    </row>
    <row r="14" spans="1:4" x14ac:dyDescent="0.35">
      <c r="A14" s="29" t="s">
        <v>33</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36" sqref="D36"/>
    </sheetView>
  </sheetViews>
  <sheetFormatPr defaultRowHeight="14.5" x14ac:dyDescent="0.35"/>
  <cols>
    <col min="1" max="1" width="13" customWidth="1"/>
    <col min="2" max="2" width="82.90625" customWidth="1"/>
    <col min="3" max="4" width="13.36328125" customWidth="1"/>
  </cols>
  <sheetData>
    <row r="1" spans="1:4" ht="60" customHeight="1" x14ac:dyDescent="0.35">
      <c r="A1" s="29" t="s">
        <v>262</v>
      </c>
      <c r="C1" s="80"/>
      <c r="D1" s="98"/>
    </row>
    <row r="2" spans="1:4" ht="15" customHeight="1" x14ac:dyDescent="0.35">
      <c r="A2" s="29" t="s">
        <v>263</v>
      </c>
      <c r="C2" s="97"/>
      <c r="D2" s="97"/>
    </row>
    <row r="3" spans="1:4" x14ac:dyDescent="0.35">
      <c r="A3" s="29" t="s">
        <v>264</v>
      </c>
      <c r="C3" s="39" t="s">
        <v>1</v>
      </c>
      <c r="D3" s="34" t="s">
        <v>2</v>
      </c>
    </row>
    <row r="4" spans="1:4" x14ac:dyDescent="0.35">
      <c r="A4" s="29" t="s">
        <v>265</v>
      </c>
      <c r="C4" s="116" t="s">
        <v>4</v>
      </c>
      <c r="D4" s="117">
        <v>50</v>
      </c>
    </row>
    <row r="5" spans="1:4" x14ac:dyDescent="0.35">
      <c r="A5" s="29" t="s">
        <v>266</v>
      </c>
      <c r="C5" s="116" t="s">
        <v>6</v>
      </c>
      <c r="D5" s="117">
        <v>20</v>
      </c>
    </row>
    <row r="6" spans="1:4" x14ac:dyDescent="0.35">
      <c r="A6" s="29" t="s">
        <v>267</v>
      </c>
      <c r="C6" s="116" t="s">
        <v>8</v>
      </c>
      <c r="D6" s="117">
        <v>60</v>
      </c>
    </row>
    <row r="7" spans="1:4" ht="15" customHeight="1" x14ac:dyDescent="0.35">
      <c r="A7" s="31" t="s">
        <v>290</v>
      </c>
      <c r="C7" s="116" t="s">
        <v>10</v>
      </c>
      <c r="D7" s="117">
        <v>40</v>
      </c>
    </row>
    <row r="8" spans="1:4" ht="15" thickBot="1" x14ac:dyDescent="0.4">
      <c r="A8" s="29" t="s">
        <v>146</v>
      </c>
      <c r="C8" s="46"/>
      <c r="D8" s="46"/>
    </row>
    <row r="9" spans="1:4" ht="15.5" thickTop="1" thickBot="1" x14ac:dyDescent="0.4">
      <c r="A9" s="29" t="s">
        <v>147</v>
      </c>
      <c r="C9" s="96" t="s">
        <v>121</v>
      </c>
      <c r="D9" s="50" t="e">
        <f>VLOOKUP(C9,C3:D7,2,FALSE)</f>
        <v>#N/A</v>
      </c>
    </row>
    <row r="10" spans="1:4" ht="15" thickTop="1" x14ac:dyDescent="0.35">
      <c r="A10" s="29" t="s">
        <v>30</v>
      </c>
    </row>
    <row r="11" spans="1:4" x14ac:dyDescent="0.35">
      <c r="A11" s="29" t="s">
        <v>268</v>
      </c>
    </row>
    <row r="12" spans="1:4" x14ac:dyDescent="0.35">
      <c r="A12" s="29" t="s">
        <v>269</v>
      </c>
    </row>
    <row r="13" spans="1:4" x14ac:dyDescent="0.35">
      <c r="A13" s="29" t="s">
        <v>270</v>
      </c>
    </row>
    <row r="14" spans="1:4" x14ac:dyDescent="0.35">
      <c r="A14" s="29" t="s">
        <v>33</v>
      </c>
    </row>
    <row r="30" spans="3:4" x14ac:dyDescent="0.35">
      <c r="C30" s="39" t="s">
        <v>1</v>
      </c>
      <c r="D30" s="34" t="s">
        <v>2</v>
      </c>
    </row>
    <row r="31" spans="3:4" x14ac:dyDescent="0.35">
      <c r="C31" s="116" t="s">
        <v>4</v>
      </c>
      <c r="D31" s="117">
        <v>50</v>
      </c>
    </row>
    <row r="32" spans="3:4" x14ac:dyDescent="0.35">
      <c r="C32" s="116" t="s">
        <v>6</v>
      </c>
      <c r="D32" s="117">
        <v>20</v>
      </c>
    </row>
    <row r="33" spans="3:4" x14ac:dyDescent="0.35">
      <c r="C33" s="116" t="s">
        <v>8</v>
      </c>
      <c r="D33" s="117">
        <v>60</v>
      </c>
    </row>
    <row r="34" spans="3:4" x14ac:dyDescent="0.35">
      <c r="C34" s="116" t="s">
        <v>10</v>
      </c>
      <c r="D34" s="117">
        <v>40</v>
      </c>
    </row>
    <row r="35" spans="3:4" ht="15" thickBot="1" x14ac:dyDescent="0.4"/>
    <row r="36" spans="3:4" ht="15.5" thickTop="1" thickBot="1" x14ac:dyDescent="0.4">
      <c r="C36" s="96" t="s">
        <v>65</v>
      </c>
      <c r="D36" s="50" t="e">
        <f ca="1">sume(D31:D34)</f>
        <v>#NAME?</v>
      </c>
    </row>
    <row r="37" spans="3:4" ht="15" thickTop="1" x14ac:dyDescent="0.35"/>
  </sheetData>
  <dataValidations count="1">
    <dataValidation type="list" allowBlank="1" showInputMessage="1" showErrorMessage="1" sqref="C9" xr:uid="{00000000-0002-0000-0B00-000000000000}">
      <formula1>$C$9:$C$38</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7"/>
  <sheetViews>
    <sheetView showGridLines="0" zoomScaleNormal="100" workbookViewId="0"/>
  </sheetViews>
  <sheetFormatPr defaultColWidth="8.90625" defaultRowHeight="15" customHeight="1" x14ac:dyDescent="0.35"/>
  <cols>
    <col min="1" max="1" width="8.90625" style="9"/>
    <col min="2" max="2" width="95.08984375" style="40" customWidth="1"/>
    <col min="3" max="16384" width="8.90625" style="40"/>
  </cols>
  <sheetData>
    <row r="1" spans="1:2" ht="60" customHeight="1" x14ac:dyDescent="0.35">
      <c r="A1" s="9" t="s">
        <v>75</v>
      </c>
    </row>
    <row r="2" spans="1:2" s="41" customFormat="1" ht="15" customHeight="1" x14ac:dyDescent="0.45">
      <c r="A2" s="9" t="s">
        <v>76</v>
      </c>
      <c r="B2" s="40"/>
    </row>
    <row r="3" spans="1:2" s="41" customFormat="1" ht="15" customHeight="1" x14ac:dyDescent="0.45">
      <c r="A3" s="9" t="s">
        <v>77</v>
      </c>
      <c r="B3" s="40"/>
    </row>
    <row r="4" spans="1:2" s="42" customFormat="1" ht="15" customHeight="1" x14ac:dyDescent="0.9">
      <c r="A4" s="9" t="s">
        <v>78</v>
      </c>
      <c r="B4" s="40"/>
    </row>
    <row r="5" spans="1:2" s="43" customFormat="1" ht="15" customHeight="1" x14ac:dyDescent="0.35">
      <c r="A5" s="9" t="s">
        <v>79</v>
      </c>
      <c r="B5" s="40"/>
    </row>
    <row r="6" spans="1:2" s="43" customFormat="1" ht="15" customHeight="1" x14ac:dyDescent="0.35">
      <c r="A6" s="44" t="s">
        <v>80</v>
      </c>
      <c r="B6" s="40"/>
    </row>
    <row r="7" spans="1:2" ht="15" customHeight="1" x14ac:dyDescent="0.35">
      <c r="A7"/>
    </row>
  </sheetData>
  <hyperlinks>
    <hyperlink ref="A4" r:id="rId1" tooltip="Select to learn more about LinkedIn Learning" display="http://go.microsoft.com/fwlink/?LinkId=846285" xr:uid="{00000000-0004-0000-0C00-000000000000}"/>
    <hyperlink ref="A5" r:id="rId2" tooltip="Select to learn more about Community" display="http://go.microsoft.com/fwlink/?LinkId=844969" xr:uid="{00000000-0004-0000-0C00-000001000000}"/>
    <hyperlink ref="A6" r:id="rId3" tooltip="Select to learn more about what else is new" display="http://go.microsoft.com/fwlink/?LinkId=846286" xr:uid="{00000000-0004-0000-0C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45D96907-3760-4A02-914D-DEDD1ED3BC1D}">
  <ds:schemaRefs>
    <ds:schemaRef ds:uri="http://schemas.microsoft.com/sharepoint/v3/contenttype/forms"/>
  </ds:schemaRefs>
</ds:datastoreItem>
</file>

<file path=customXml/itemProps2.xml><?xml version="1.0" encoding="utf-8"?>
<ds:datastoreItem xmlns:ds="http://schemas.openxmlformats.org/officeDocument/2006/customXml" ds:itemID="{1D2E9E0D-E34B-494C-9EBD-516C199D2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34BB2B-418C-4266-AED4-A95269BAF2D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Start</vt:lpstr>
      <vt:lpstr>Basics</vt:lpstr>
      <vt:lpstr>Introduction to Functions</vt:lpstr>
      <vt:lpstr>AVERAGE</vt:lpstr>
      <vt:lpstr>MIN &amp; MAX</vt:lpstr>
      <vt:lpstr>Date &amp; Time</vt:lpstr>
      <vt:lpstr>Joining text and numbers</vt:lpstr>
      <vt:lpstr>IF statements</vt:lpstr>
      <vt:lpstr>VLOOKUP</vt:lpstr>
      <vt:lpstr>Conditional Functions</vt:lpstr>
      <vt:lpstr>Function Wizard</vt:lpstr>
      <vt:lpstr>Formula Errors</vt:lpstr>
      <vt:lpstr>Learn more</vt:lpstr>
      <vt:lpstr>Apples</vt:lpstr>
      <vt:lpstr>Bananas</vt:lpstr>
      <vt:lpstr>'Introduction to Functions'!ExtraCredit</vt:lpstr>
      <vt:lpstr>'Conditional Functions'!Extract</vt:lpstr>
      <vt:lpstr>'Introduction to Functions'!Fruit</vt:lpstr>
      <vt:lpstr>'Introduction to Functions'!Items</vt:lpstr>
      <vt:lpstr>Lemons</vt:lpstr>
      <vt:lpstr>lst_Fruit</vt:lpstr>
      <vt:lpstr>lst_FruitType</vt:lpstr>
      <vt:lpstr>'Introduction to Functions'!Meat</vt:lpstr>
      <vt:lpstr>'Introduction to Functions'!MoreFruit</vt:lpstr>
      <vt:lpstr>'Introduction to Functions'!MoreItems</vt:lpstr>
      <vt:lpstr>Oranges</vt:lpstr>
      <vt:lpstr>'Introduction to Functions'!SUMExtraCredit</vt:lpstr>
      <vt:lpstr>'Introduction to Functions'!Total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2020-01-27T22:32:31Z</dcterms:created>
  <dcterms:modified xsi:type="dcterms:W3CDTF">2026-10-09T00:54:18Z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